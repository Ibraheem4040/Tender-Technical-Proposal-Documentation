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ocuments\Tend\DMLC- Department of Military Land &amp; Cantonments\RFP\Doc\"/>
    </mc:Choice>
  </mc:AlternateContent>
  <bookViews>
    <workbookView xWindow="-120" yWindow="-120" windowWidth="20730" windowHeight="11160"/>
  </bookViews>
  <sheets>
    <sheet name="HR" sheetId="6" r:id="rId1"/>
    <sheet name="5A5 Work schedule1" sheetId="23" r:id="rId2"/>
    <sheet name=" 5A6 Team Composition" sheetId="24" r:id="rId3"/>
    <sheet name="5A7 Staffing Schedule" sheetId="19" r:id="rId4"/>
    <sheet name="5B3 Staff Remuneration" sheetId="18" r:id="rId5"/>
    <sheet name="5B5 Staff Remuneration O&amp;M" sheetId="26" r:id="rId6"/>
    <sheet name="Reimbursible" sheetId="17" r:id="rId7"/>
    <sheet name="5B5 Reimbursible O&amp;M" sheetId="28" r:id="rId8"/>
    <sheet name="Training" sheetId="25" r:id="rId9"/>
    <sheet name="QCBS" sheetId="13" r:id="rId10"/>
  </sheets>
  <definedNames>
    <definedName name="ACProcessing">#REF!</definedName>
    <definedName name="daysinweek">#REF!</definedName>
    <definedName name="NID">#REF!</definedName>
    <definedName name="PersonDaySift">#REF!</definedName>
    <definedName name="_xlnm.Print_Area" localSheetId="4">'5B3 Staff Remuneration'!$A$2:$F$42</definedName>
    <definedName name="Shifts">#REF!</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32" i="13" l="1"/>
  <c r="U36" i="19" l="1"/>
  <c r="K11" i="28" l="1"/>
  <c r="F4" i="17"/>
  <c r="H4" i="17" s="1"/>
  <c r="H6" i="17"/>
  <c r="H9" i="17"/>
  <c r="H7" i="28"/>
  <c r="H6" i="28"/>
  <c r="G5" i="28"/>
  <c r="H5" i="28" s="1"/>
  <c r="H9" i="28" s="1"/>
  <c r="H4" i="28"/>
  <c r="F7" i="26"/>
  <c r="F8" i="26"/>
  <c r="F18" i="26"/>
  <c r="J17" i="26"/>
  <c r="F17" i="26"/>
  <c r="J16" i="26"/>
  <c r="F16" i="26"/>
  <c r="J15" i="26"/>
  <c r="F15" i="26"/>
  <c r="J14" i="26"/>
  <c r="F14" i="26"/>
  <c r="J13" i="26"/>
  <c r="F13" i="26"/>
  <c r="J12" i="26"/>
  <c r="F12" i="26"/>
  <c r="J11" i="26"/>
  <c r="F11" i="26"/>
  <c r="F10" i="26"/>
  <c r="F9" i="26"/>
  <c r="G8" i="17"/>
  <c r="H8" i="17" s="1"/>
  <c r="H7" i="17"/>
  <c r="W4" i="19"/>
  <c r="F42" i="18"/>
  <c r="F43" i="18"/>
  <c r="F44" i="18"/>
  <c r="F45" i="18"/>
  <c r="F46" i="18"/>
  <c r="F47" i="18"/>
  <c r="F48" i="18"/>
  <c r="F49" i="18"/>
  <c r="F50" i="18"/>
  <c r="F51" i="18"/>
  <c r="F52" i="18"/>
  <c r="F53" i="18"/>
  <c r="F54" i="18"/>
  <c r="F7" i="18"/>
  <c r="F8" i="18"/>
  <c r="F9" i="18"/>
  <c r="F10" i="18"/>
  <c r="F55" i="18" s="1"/>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D6" i="13"/>
  <c r="W23" i="19"/>
  <c r="W24" i="19"/>
  <c r="W25" i="19"/>
  <c r="W26" i="19"/>
  <c r="W27" i="19"/>
  <c r="W28" i="19"/>
  <c r="W29" i="19"/>
  <c r="W30" i="19"/>
  <c r="W31" i="19"/>
  <c r="W32" i="19"/>
  <c r="W33" i="19"/>
  <c r="W34" i="19"/>
  <c r="W35" i="19"/>
  <c r="O10" i="25"/>
  <c r="O9" i="25"/>
  <c r="I11" i="25"/>
  <c r="I10" i="25"/>
  <c r="I9" i="25"/>
  <c r="W5" i="19"/>
  <c r="W6" i="19"/>
  <c r="W7" i="19"/>
  <c r="W8" i="19"/>
  <c r="W9" i="19"/>
  <c r="W10" i="19"/>
  <c r="W11" i="19"/>
  <c r="W12" i="19"/>
  <c r="W13" i="19"/>
  <c r="W14" i="19"/>
  <c r="W15" i="19"/>
  <c r="W16" i="19"/>
  <c r="W17" i="19"/>
  <c r="W18" i="19"/>
  <c r="W19" i="19"/>
  <c r="W20" i="19"/>
  <c r="W21" i="19"/>
  <c r="W22" i="19"/>
  <c r="F19" i="26" l="1"/>
  <c r="F21" i="26" s="1"/>
  <c r="H11" i="28" s="1"/>
  <c r="W36" i="19"/>
  <c r="O11" i="25"/>
  <c r="D20" i="13"/>
  <c r="D36" i="13"/>
  <c r="D35" i="13"/>
  <c r="D31" i="13"/>
  <c r="D16" i="13"/>
  <c r="D15" i="13"/>
  <c r="D21" i="13"/>
  <c r="H13" i="17" l="1"/>
  <c r="D37" i="13"/>
  <c r="D33" i="13"/>
  <c r="D17" i="13"/>
  <c r="G5" i="17" l="1"/>
  <c r="H5" i="17" s="1"/>
  <c r="H11" i="17" s="1"/>
  <c r="H14" i="17" l="1"/>
  <c r="H15" i="17" s="1"/>
  <c r="H12" i="28"/>
  <c r="H13" i="28" s="1"/>
  <c r="J15" i="17"/>
  <c r="H6" i="13"/>
  <c r="D28" i="13"/>
  <c r="D27" i="13"/>
  <c r="D5" i="13"/>
  <c r="J13" i="28" l="1"/>
  <c r="H14" i="28"/>
  <c r="H16" i="28" s="1"/>
  <c r="H18" i="17"/>
  <c r="H16" i="17"/>
  <c r="D7" i="13"/>
  <c r="D22" i="13"/>
  <c r="D29" i="13"/>
</calcChain>
</file>

<file path=xl/sharedStrings.xml><?xml version="1.0" encoding="utf-8"?>
<sst xmlns="http://schemas.openxmlformats.org/spreadsheetml/2006/main" count="409" uniqueCount="216">
  <si>
    <t>Total</t>
  </si>
  <si>
    <t>Quantity</t>
  </si>
  <si>
    <t>Name</t>
  </si>
  <si>
    <t>Technical</t>
  </si>
  <si>
    <t xml:space="preserve">Financial </t>
  </si>
  <si>
    <t>Financial Cost</t>
  </si>
  <si>
    <t>Financial lowest</t>
  </si>
  <si>
    <t>Total Score</t>
  </si>
  <si>
    <t>Amount</t>
  </si>
  <si>
    <t>Unit</t>
  </si>
  <si>
    <t>Unit Cost</t>
  </si>
  <si>
    <t>Per diem allowances</t>
  </si>
  <si>
    <t>Day</t>
  </si>
  <si>
    <t>Travel expenses</t>
  </si>
  <si>
    <t>Trip</t>
  </si>
  <si>
    <t xml:space="preserve">Communication costs </t>
  </si>
  <si>
    <t>minute</t>
  </si>
  <si>
    <t>Drafting, reproduction of reports</t>
  </si>
  <si>
    <t>pages</t>
  </si>
  <si>
    <t>Training</t>
  </si>
  <si>
    <t>Form 5B3 Breakdown of Staff Remuneration</t>
  </si>
  <si>
    <t>S.L.</t>
  </si>
  <si>
    <t>(Staff-months)</t>
  </si>
  <si>
    <t>Staff</t>
  </si>
  <si>
    <t>Sl. No.</t>
  </si>
  <si>
    <t>Total Staff Month Input</t>
  </si>
  <si>
    <t>Home</t>
  </si>
  <si>
    <t>Field</t>
  </si>
  <si>
    <t>No.</t>
  </si>
  <si>
    <t>HR</t>
  </si>
  <si>
    <t>Reimbursible</t>
  </si>
  <si>
    <t>Sub total</t>
  </si>
  <si>
    <t>Tax @ 5%</t>
  </si>
  <si>
    <r>
      <t>Name</t>
    </r>
    <r>
      <rPr>
        <vertAlign val="superscript"/>
        <sz val="11"/>
        <color theme="1"/>
        <rFont val="Calibri"/>
        <family val="2"/>
        <scheme val="minor"/>
      </rPr>
      <t>1</t>
    </r>
  </si>
  <si>
    <r>
      <t>Position</t>
    </r>
    <r>
      <rPr>
        <vertAlign val="superscript"/>
        <sz val="11"/>
        <color theme="1"/>
        <rFont val="Calibri"/>
        <family val="2"/>
        <scheme val="minor"/>
      </rPr>
      <t>2</t>
    </r>
  </si>
  <si>
    <r>
      <t>Staff-month Rate</t>
    </r>
    <r>
      <rPr>
        <vertAlign val="superscript"/>
        <sz val="11"/>
        <color theme="1"/>
        <rFont val="Calibri"/>
        <family val="2"/>
        <scheme val="minor"/>
      </rPr>
      <t>3</t>
    </r>
  </si>
  <si>
    <r>
      <t>Input</t>
    </r>
    <r>
      <rPr>
        <vertAlign val="superscript"/>
        <sz val="11"/>
        <color theme="1"/>
        <rFont val="Calibri"/>
        <family val="2"/>
        <scheme val="minor"/>
      </rPr>
      <t>3</t>
    </r>
  </si>
  <si>
    <r>
      <t xml:space="preserve">[Indicate Sub Cost 
for each staff] </t>
    </r>
    <r>
      <rPr>
        <vertAlign val="superscript"/>
        <sz val="11"/>
        <color theme="1"/>
        <rFont val="Calibri"/>
        <family val="2"/>
        <scheme val="minor"/>
      </rPr>
      <t>4</t>
    </r>
  </si>
  <si>
    <t>Project Manager</t>
  </si>
  <si>
    <t>Md. Moniruzzaman Miah</t>
  </si>
  <si>
    <t>Md. Moinul Islam</t>
  </si>
  <si>
    <t>Phase and Description</t>
  </si>
  <si>
    <t>Review Existing existing database and software</t>
  </si>
  <si>
    <t>Detail Test Plan &amp; Review</t>
  </si>
  <si>
    <t>Coding &amp; Review</t>
  </si>
  <si>
    <t>Designing the Database of the Software</t>
  </si>
  <si>
    <t>Security Standard Implementation for the System</t>
  </si>
  <si>
    <t>Conduct UAT and vulnerabilityTesting</t>
  </si>
  <si>
    <t>Product design review based on Tests and user feedback</t>
  </si>
  <si>
    <t>Feedback Accommodation</t>
  </si>
  <si>
    <t>Signing of User Acceptance Report</t>
  </si>
  <si>
    <t>High level design development</t>
  </si>
  <si>
    <t xml:space="preserve">Integration </t>
  </si>
  <si>
    <t>Go live</t>
  </si>
  <si>
    <t>Support &amp; Maintenance</t>
  </si>
  <si>
    <t>Migration of legacy data</t>
  </si>
  <si>
    <t>lumpsum</t>
  </si>
  <si>
    <t>Use of computers and other equipment</t>
  </si>
  <si>
    <t>Vat @ 5%</t>
  </si>
  <si>
    <t>Devnet</t>
  </si>
  <si>
    <t>REVE</t>
  </si>
  <si>
    <t>Business Automation</t>
  </si>
  <si>
    <t>Technivista</t>
  </si>
  <si>
    <t>Leads</t>
  </si>
  <si>
    <t>Syntech</t>
  </si>
  <si>
    <t>Facts</t>
  </si>
  <si>
    <t>Sohag Hossain</t>
  </si>
  <si>
    <t xml:space="preserve">Md. Riazul Islam Polash </t>
  </si>
  <si>
    <t>Submission of Project Management Plan</t>
  </si>
  <si>
    <t>System architecture assessment and provide recommendations</t>
  </si>
  <si>
    <t>Form 5A6 Team Composition and Task Assignments</t>
  </si>
  <si>
    <t>SL No</t>
  </si>
  <si>
    <t>Person</t>
  </si>
  <si>
    <t>Firm</t>
  </si>
  <si>
    <t>Area of Expertise</t>
  </si>
  <si>
    <t>Position Assigned</t>
  </si>
  <si>
    <t>Task Assigned</t>
  </si>
  <si>
    <t>The Project Manager is responsible for the day-to-day operational management of the project, including developing and overseeing work and preparation of project progress reports. He is responsible for regular reporting to the client. The chosen candidate is responsible for overseeing all technical aspects of the project implementation including analyse the user requirements, develop software design, choose the right technical solution as well as oversee the right implementation to ensure sustainability. Responsible for technical, financial and administrative management of the assignment. 
Supervise development  &amp; testing of the application software, Supervise data migration, design &amp; development;
Monitor application software development, Supervise Database Design,HW setup, web application development;
Organize &amp; prepare/consolidate inception report, progress reports, manuals,  training materials, etc.</t>
  </si>
  <si>
    <t>•	Application Architecture Analysis
•	Application Architecture Design
•	ICT System requirements Collection
•	 ICT System requirements analysis 
•	 Interface design and implementation 
•	 OOP design and implementation 
•	 UML and technical documentation 
•	 CTI Application Design and implementation
•	Client requirements and actual business proposition plan</t>
  </si>
  <si>
    <t>The system analyst is expected to analyse the user requirements through meetings and discussion session with the targeted beneficiaries. After finalizing the primary draft of User Requirement Specification through vetting with the users, the System Analyst will prepare the Software Design Document in consultation with the Team leader/Project Manager and share the document with QA specialist. Specifically, the System Analyst will-
•	Design the architecture for system integration as required
•	Prepare plans for optimal data storage and retrieval procedures
•	Prepare plans for data standardization
•	Prepare SRS
•	Prepare other technical documentation as per project requirement.
•	 ICT System requirements Collection
•	 ICT System requirements analysis 
•	 Interface design and implementation 
•	 OOP design and implementation 
•	 UML and technical documentation 
•	 CTI Application Design and implementation
•	Client requirements and actual business proposition plan</t>
  </si>
  <si>
    <t> Programming
 Writing and implementing efficient code
 Customization</t>
  </si>
  <si>
    <t>Bijoy Lal Dewanjee</t>
  </si>
  <si>
    <t>Nafiz Imtiaz</t>
  </si>
  <si>
    <t>Months</t>
  </si>
  <si>
    <t>System Analyst</t>
  </si>
  <si>
    <t>Delivery of the First iteration</t>
  </si>
  <si>
    <t>Phase 5: Support and Maintenance</t>
  </si>
  <si>
    <t>SL</t>
  </si>
  <si>
    <t>Role</t>
  </si>
  <si>
    <t>Md. Reazul Islam Polash</t>
  </si>
  <si>
    <t>M. Nayem Abdullah</t>
  </si>
  <si>
    <t>Md. Asif Atick</t>
  </si>
  <si>
    <t>Harun or Rashid</t>
  </si>
  <si>
    <t>Md. Mamun Miah</t>
  </si>
  <si>
    <t>Mirbahar Nurul Amin</t>
  </si>
  <si>
    <t>Md. Sohel Rana</t>
  </si>
  <si>
    <t xml:space="preserve">Samiul Abid Chowdhury </t>
  </si>
  <si>
    <t>Md. Tariqul Islam</t>
  </si>
  <si>
    <t>Forhadul Islam</t>
  </si>
  <si>
    <t>Prof. Dr. Dewan Md. Farid</t>
  </si>
  <si>
    <t>Hasan Sarwar</t>
  </si>
  <si>
    <t xml:space="preserve">Ziaur Rahman </t>
  </si>
  <si>
    <t>Man-Months</t>
  </si>
  <si>
    <t>•	Team management
•	Programming, coding
•	Customization
•	Writing and implementing efficient code
•	Developing quality assurance procedures
•	Deploying software tools, processes and metrics</t>
  </si>
  <si>
    <t>•	Responsible for developing software coding as per design for PC &amp; Mobile
•	The Software Developers are expected to code the software. This includes design, develop, and modify the modules with arranging the needed functionalities accordingly. The database backend is also expected to be developed by this team, including adding and modifying the structure, the stored procedures (if any),
•	Coordinate with the Technical lead on current programming tasks
•	Develop mobile app and web application
•	Collaborate with other programmers to design and implement features
•	Quickly produce well organized, optimized and documented source code
•	Create and document software tools required by other developers and stake holders.
•	Debug existing source code and polish feature sets
•	Contribute to technical design documentation</t>
  </si>
  <si>
    <t>The QA Engineer will act as the person responsible for ensuring the final product that reaches the client (Software, documentation and training) are up to the acceptable mark as decided earlier by leading the QA team. Specifically he will –
•	Create test plans, requirements, scenarios and test data for use during testing.
•	Develop test cases and prioritize testing activities.
•	Execute all the test case and report defects, define severity and priority for each defect.
•	Carry out regression testing every time when changes are made to the code to fix defect
•	Verify and approve the test cases 
•	Prepare the combined test report and communicate with the developer’s team
•	Act as a release manager for issuing the product to the client</t>
  </si>
  <si>
    <t>•	Responsible for developing software coding as per design 
•	The Software Developers are expected to code the software. 
•	Coordinate with the sr. developers on current programming tasks
•	Collaborate with other developers to design and implement features
•	Quickly produce well organized, optimized and documented source code
•	Create and document software tools required by other developers and stake holders.
•	Debug existing source code and polish feature sets
•	Contribute to technical design documentation</t>
  </si>
  <si>
    <t>Suport and maintenance</t>
  </si>
  <si>
    <t>system user training</t>
  </si>
  <si>
    <t>Days</t>
  </si>
  <si>
    <t>Nos</t>
  </si>
  <si>
    <t>System Admin training</t>
  </si>
  <si>
    <t>Honourium</t>
  </si>
  <si>
    <t>Lunch</t>
  </si>
  <si>
    <t>Training bag</t>
  </si>
  <si>
    <t>Stationery</t>
  </si>
  <si>
    <t>Training Materials</t>
  </si>
  <si>
    <t>Team Leader</t>
  </si>
  <si>
    <t>Business Process Specialist</t>
  </si>
  <si>
    <t>Senior Software Engineer/Programmer</t>
  </si>
  <si>
    <t>Software Engineer/Programmer</t>
  </si>
  <si>
    <t>Lead Software Quality Assurance and Testing Engineer (SQA)</t>
  </si>
  <si>
    <t>Software Quality Assurance and Testing Engineer (SQA)</t>
  </si>
  <si>
    <t>System Networking Engineer</t>
  </si>
  <si>
    <t>System Operations and Maintenance Engineer</t>
  </si>
  <si>
    <t>Data Science Specialist</t>
  </si>
  <si>
    <t>Trainer</t>
  </si>
  <si>
    <t>Md. Maksudur Rahman</t>
  </si>
  <si>
    <t>Md. Mehedi Hasan</t>
  </si>
  <si>
    <t>Marufuzzaman Maruf</t>
  </si>
  <si>
    <t>Roni Kumar Saha</t>
  </si>
  <si>
    <t>Mohammad Syful Islam Noman</t>
  </si>
  <si>
    <t>Md.Majharul Islam</t>
  </si>
  <si>
    <t>Md. Zahirul Islam</t>
  </si>
  <si>
    <t>Asif Atick</t>
  </si>
  <si>
    <t>Md. Obaidul Haque Sarker</t>
  </si>
  <si>
    <t>Md. Nazmul Hasan</t>
  </si>
  <si>
    <t>Jubair Al Ansary</t>
  </si>
  <si>
    <t>Shahriar Rahman</t>
  </si>
  <si>
    <t>Abdul Kaiyum</t>
  </si>
  <si>
    <t>Structural Layout Development and design of the system</t>
  </si>
  <si>
    <t>Senior Software Engineer</t>
  </si>
  <si>
    <t>Software Engineer</t>
  </si>
  <si>
    <t>Lead Software Quality Assurance and Testing Engineer</t>
  </si>
  <si>
    <t>Software Quality Assurance and Testing Engineer</t>
  </si>
  <si>
    <t>Maksudur Rahman</t>
  </si>
  <si>
    <t>Ziaur Rahman</t>
  </si>
  <si>
    <t>•	Evaluating business processes, anticipating requirements, uncovering areas for improvement, and developing and implementing solutions.
•	Leading ongoing reviews of business processes and developing optimi-zation strategies.
•	Staying up-to-date on the latest process and IT advancements to auto-mate and modernize systems.
•	Conducting meetings and presentations to share ideas and findings.
•	Performing requirements analysis.
•	Documenting and communicating the results of your efforts.
•	Effectively communicating your insights and plans to cross-functional team members and management.
•	Gathering critical information from meetings with various stakeholders and producing useful reports.
•	Working closely with clients, technicians, and managerial staff.
•	Providing leadership, training, coaching, and guidance to junior staff.</t>
  </si>
  <si>
    <t>• Evaluating business processes
• Requirement analysis
• Technology analysis
	• Application Architecture Analysis
• Application Architecture Design</t>
  </si>
  <si>
    <t> conducting software testing
 creating test-product documentation</t>
  </si>
  <si>
    <t>•	Setting up, developing and maintaining computer networks within the project site.
•	maintenance of computer networks, hardware, software, and other related systems
•	Maximizing network performance through ongoing monitoring and troubleshooting
•	Performing disaster recovery operations
•	Protecting data, software, and hardware from attacks, and replacing faulty network hardware components when necessary.</t>
  </si>
  <si>
    <t>•	Networking
•	Device management
•	Hardware maintenance and troubleshooting</t>
  </si>
  <si>
    <t>•	Data mining or extracting usable data from valuable data sources
•	Using machine learning tools to select features, create and optimize classifiers
•	Statistics and probability cast on data via Deep Learning
•	Carrying out pre-processing of structured and unstructured data
•	Enhancing data collection procedures to include all relevant information for developing analytic systems
•	Processing, cleansing, and validating the integrity of data to be used for analysis
•	Analyzing large amounts of information to find patterns and solutions
•	Developing prediction systems and machine learning algorithms
•	Presenting results in a clear manner
•	Propose solutions and strategies to tackle business challenges
•	Collaborate with Business and IT teams</t>
  </si>
  <si>
    <t xml:space="preserve">•	Data collecting &amp; processing
•	Process automation
•	Business Inteligent
•	Machine Learning 
•	Deep Learning
OCR and ICR, NLP, .Net developer, Python
</t>
  </si>
  <si>
    <t>Office rent</t>
  </si>
  <si>
    <t>Staff Month input by month in Development phase</t>
  </si>
  <si>
    <t>Staff month during operation and maintenance</t>
  </si>
  <si>
    <t>N°</t>
  </si>
  <si>
    <r>
      <t>Description</t>
    </r>
    <r>
      <rPr>
        <b/>
        <vertAlign val="superscript"/>
        <sz val="11"/>
        <color theme="1"/>
        <rFont val="Arial"/>
        <family val="2"/>
      </rPr>
      <t>1</t>
    </r>
  </si>
  <si>
    <t>Form 5B5: Breakdown of operation &amp; maintenance
Expenses (Lump-Sum)</t>
  </si>
  <si>
    <t>Business Analyst</t>
  </si>
  <si>
    <t>Solution Architect</t>
  </si>
  <si>
    <t>Data Scientist</t>
  </si>
  <si>
    <t>Data Engineer</t>
  </si>
  <si>
    <t>UI Engineer</t>
  </si>
  <si>
    <t>Infrastructure Expert</t>
  </si>
  <si>
    <t>QA Engineer</t>
  </si>
  <si>
    <t>Document Writer</t>
  </si>
  <si>
    <t>Software Support &amp; Maintenance Engineer</t>
  </si>
  <si>
    <t>Visualization Expert</t>
  </si>
  <si>
    <t>Samiul Abid Chowdhury</t>
  </si>
  <si>
    <t xml:space="preserve">•  	Strong connection with major stakeholders like local chambers, associations, government ministries, Proven Project Delivery and Management experience specific to Bangladesh government, 
•  Association of Chartered Certified Accountants (ACCA), UK, London.
•  	11 years of experience in large scale ICT implementation projects
•  	ACMP Certified-Ref. MDP/ACMP 4.0-B7.190 </t>
  </si>
  <si>
    <t>Business Anakyst</t>
  </si>
  <si>
    <t>UI Designer</t>
  </si>
  <si>
    <t>Design User Interface</t>
  </si>
  <si>
    <t>• UI Design &amp; Implenting
	•Setting up, developing and maintaining computer networks within the project site.
•	maintenance of computer networks, hardware, software, and other related systems
•	Maximizing network performance through ongoing monitoring and troubleshooting
•	Performing disaster recovery operations
•	Protecting data, software, and hardware from attacks, and replacing faulty network hardware components when necessary.</t>
  </si>
  <si>
    <t xml:space="preserve"> Assist in plan design, hardware implementation, software, network and telephony capabilities;
 Diagnose and resolve hardware, software, network and telephony issues;
 Assist in developing operating, installation, and upgrade procedures for communication systems, hardware, network, security, storage and software;
 Assist in documenting current hardware and network environments, including servers, PCs, IT security and network systems, videoconferencing and telephony;
 Perform Help Desk and desktop support activities, as needed;
 Research, analyses, and assist in developing documentation and new processes and procedures collaboratively with Director of Infrastructure
</t>
  </si>
  <si>
    <t>•	Plan &amp; Implement Software Design
•	Programming
•	Hardware maintenance and Plan</t>
  </si>
  <si>
    <t xml:space="preserve">•Certified Scrum Product Owner, Scrum Alliance, Certificate ID: 000589827, June 2020
•Project   Management   Professional (35 PDU) Day Spring Dhaka, January 2018
•Certified   Scrum Master, Scrum Alliance: Certificate ID: 589827, November 2016
•Agile Inception –In-depth Exposure to Agile, BD Jobs, Dhaka, April 2014
</t>
  </si>
  <si>
    <t xml:space="preserve"> Work with internal teams to obtain an in-depth understanding of the product and the documentation requirements
 Produce high-quality documentation that meets applicable standards and is appropriate for its intended audience
 Write easy-to-understand user interface text, online help and developer guides
 Create tutorials to help end-users use a variety of applications
 Analyze existing and potential content, focusing on reuse and single-sourcing opportunities
 Create and maintain the information architecture
</t>
  </si>
  <si>
    <t xml:space="preserve"> Document Expert</t>
  </si>
  <si>
    <t>Software Maintenance &amp; Support Engineer</t>
  </si>
  <si>
    <t>• Software development
• Database design and development
• Integration
• Data security</t>
  </si>
  <si>
    <t xml:space="preserve">•  Responsibility for the evaluation of database software purchases
•  Supervision of modifications to any existing database software to meet the needs of their employer
•  Responsibility for maintaining the integrity and performance of company databases
•  Must guarantee that data is stored securely and optimally
•  Informing end users of changes in databases and train them to utilize systems
•  Ensuring the security of company data
</t>
  </si>
  <si>
    <t>Established Cloud-based multiple dashboards under one umbrella</t>
  </si>
  <si>
    <t>Integration of system with 3 type user Dashboard (Strategic dashboards, Analytical dashboards, Operational dashboards)</t>
  </si>
  <si>
    <t>Data Warehouse</t>
  </si>
  <si>
    <t>Sourcing, Acquisition, Clean-up, and Transformation Tools (ETl)</t>
  </si>
  <si>
    <t>Data Pipeline from source to Dashboard.</t>
  </si>
  <si>
    <t>Collection of Matadata, Data Marts</t>
  </si>
  <si>
    <t>Military Land Management System (MLMS)</t>
  </si>
  <si>
    <t>Phase 1: Inception Report (5 days)</t>
  </si>
  <si>
    <t>Development Phase in day</t>
  </si>
  <si>
    <t>Review project scope and gather information</t>
  </si>
  <si>
    <t>Day 1</t>
  </si>
  <si>
    <t>Write and review the Inception Report</t>
  </si>
  <si>
    <t>Day 2-3</t>
  </si>
  <si>
    <t>Finalize and submit the Inception Report</t>
  </si>
  <si>
    <t>Day 4-5</t>
  </si>
  <si>
    <t>Phase 2: Software Requirement Specification (SRS) (15 days)</t>
  </si>
  <si>
    <t>Gather requirements and conduct interviews with stakeholders</t>
  </si>
  <si>
    <t>Day 6-10</t>
  </si>
  <si>
    <t>Write and review the SRS</t>
  </si>
  <si>
    <t>Day 11-12</t>
  </si>
  <si>
    <t>Finalize and submit the SRS</t>
  </si>
  <si>
    <t>Day 13-15</t>
  </si>
  <si>
    <t>Phase 3: Software Development (120 days)</t>
  </si>
  <si>
    <t>Develop and test software features</t>
  </si>
  <si>
    <t>Day 16-60</t>
  </si>
  <si>
    <t>Continue development and testing</t>
  </si>
  <si>
    <t>Day 61-90</t>
  </si>
  <si>
    <t>Finalize development and prepare for testing</t>
  </si>
  <si>
    <t>Phase 4: Testing (10 days)</t>
  </si>
  <si>
    <t>Day
91-120</t>
  </si>
  <si>
    <t>Day
121-125</t>
  </si>
  <si>
    <t>Day
126-130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</si>
</sst>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00_-;\-* #,##0.00_-;_-* &quot;-&quot;??_-;_-@_-"/>
  </numFmts>
  <fonts count="16"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Arial"/>
      <family val="2"/>
    </font>
    <font>
      <sz val="11"/>
      <color rgb="FFFF0000"/>
      <name val="Calibri"/>
      <family val="2"/>
      <scheme val="minor"/>
    </font>
    <font>
      <vertAlign val="superscript"/>
      <sz val="11"/>
      <color theme="1"/>
      <name val="Calibri"/>
      <family val="2"/>
      <scheme val="minor"/>
    </font>
    <font>
      <b/>
      <sz val="11"/>
      <name val="Calibri"/>
      <family val="2"/>
      <scheme val="minor"/>
    </font>
    <font>
      <sz val="11"/>
      <name val="Calibri"/>
      <family val="2"/>
      <scheme val="minor"/>
    </font>
    <font>
      <b/>
      <sz val="14"/>
      <color theme="1"/>
      <name val="Calibri"/>
      <family val="2"/>
      <scheme val="minor"/>
    </font>
    <font>
      <b/>
      <sz val="11"/>
      <color rgb="FF000000"/>
      <name val="Calibri"/>
      <family val="2"/>
      <scheme val="minor"/>
    </font>
    <font>
      <b/>
      <sz val="14"/>
      <color rgb="FF000000"/>
      <name val="Cambria"/>
      <family val="1"/>
    </font>
    <font>
      <sz val="11"/>
      <color rgb="FF000000"/>
      <name val="Cambria"/>
      <family val="1"/>
    </font>
    <font>
      <b/>
      <sz val="11"/>
      <color rgb="FF000000"/>
      <name val="Cambria"/>
      <family val="1"/>
    </font>
    <font>
      <b/>
      <sz val="11"/>
      <color rgb="FFFF0000"/>
      <name val="Cambria"/>
      <family val="1"/>
    </font>
    <font>
      <b/>
      <vertAlign val="superscript"/>
      <sz val="11"/>
      <color theme="1"/>
      <name val="Arial"/>
      <family val="2"/>
    </font>
    <font>
      <b/>
      <sz val="1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rgb="FF00B050"/>
        <bgColor indexed="64"/>
      </patternFill>
    </fill>
    <fill>
      <patternFill patternType="solid">
        <fgColor theme="0"/>
        <bgColor indexed="64"/>
      </patternFill>
    </fill>
    <fill>
      <patternFill patternType="solid">
        <fgColor rgb="FFC5E0B3"/>
        <bgColor indexed="64"/>
      </patternFill>
    </fill>
    <fill>
      <patternFill patternType="solid">
        <fgColor rgb="FFD0CECE"/>
        <bgColor rgb="FFD0CECE"/>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9"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43" fontId="2" fillId="0" borderId="0" applyFont="0" applyFill="0" applyBorder="0" applyAlignment="0" applyProtection="0"/>
  </cellStyleXfs>
  <cellXfs count="137">
    <xf numFmtId="0" fontId="0" fillId="0" borderId="0" xfId="0"/>
    <xf numFmtId="0" fontId="1" fillId="0" borderId="0" xfId="0" applyFont="1"/>
    <xf numFmtId="43" fontId="0" fillId="0" borderId="0" xfId="1" applyFont="1"/>
    <xf numFmtId="43" fontId="0" fillId="0" borderId="0" xfId="0" applyNumberFormat="1"/>
    <xf numFmtId="0" fontId="0" fillId="0" borderId="0" xfId="0" applyAlignment="1">
      <alignment horizontal="center"/>
    </xf>
    <xf numFmtId="0" fontId="0" fillId="0" borderId="1" xfId="0" applyBorder="1" applyAlignment="1">
      <alignment vertical="top" wrapText="1"/>
    </xf>
    <xf numFmtId="0" fontId="0" fillId="0" borderId="1" xfId="0" applyBorder="1"/>
    <xf numFmtId="43" fontId="0" fillId="0" borderId="2" xfId="1" applyFont="1" applyBorder="1"/>
    <xf numFmtId="0" fontId="0" fillId="4" borderId="1" xfId="0" applyFill="1" applyBorder="1"/>
    <xf numFmtId="43" fontId="0" fillId="0" borderId="1" xfId="1" applyFont="1" applyFill="1" applyBorder="1" applyAlignment="1">
      <alignment horizontal="right"/>
    </xf>
    <xf numFmtId="4" fontId="0" fillId="0" borderId="0" xfId="0" applyNumberFormat="1"/>
    <xf numFmtId="0" fontId="0" fillId="0" borderId="1" xfId="0" applyBorder="1" applyAlignment="1">
      <alignment wrapText="1"/>
    </xf>
    <xf numFmtId="0" fontId="3" fillId="0" borderId="1" xfId="0" applyFont="1" applyBorder="1" applyAlignment="1">
      <alignment horizontal="center" wrapText="1"/>
    </xf>
    <xf numFmtId="43" fontId="0" fillId="2" borderId="0" xfId="1" applyFont="1" applyFill="1"/>
    <xf numFmtId="43" fontId="0" fillId="3" borderId="0" xfId="1" applyFont="1" applyFill="1"/>
    <xf numFmtId="0" fontId="0" fillId="0" borderId="1" xfId="0" applyBorder="1" applyAlignment="1">
      <alignment horizontal="center" vertical="center"/>
    </xf>
    <xf numFmtId="0" fontId="0" fillId="0" borderId="0" xfId="0" applyAlignment="1">
      <alignment horizontal="center" vertical="center"/>
    </xf>
    <xf numFmtId="0" fontId="0" fillId="3" borderId="1" xfId="0" applyFill="1" applyBorder="1"/>
    <xf numFmtId="0" fontId="0" fillId="5" borderId="1" xfId="0" applyFill="1" applyBorder="1"/>
    <xf numFmtId="43" fontId="0" fillId="0" borderId="0" xfId="1" applyFont="1" applyAlignment="1">
      <alignment horizontal="center"/>
    </xf>
    <xf numFmtId="0" fontId="0" fillId="0" borderId="1" xfId="0" applyBorder="1" applyAlignment="1">
      <alignment horizontal="center"/>
    </xf>
    <xf numFmtId="0" fontId="0" fillId="5" borderId="0" xfId="0" applyFill="1" applyAlignment="1">
      <alignment horizontal="center" vertical="center"/>
    </xf>
    <xf numFmtId="0" fontId="0" fillId="5" borderId="0" xfId="0" applyFill="1"/>
    <xf numFmtId="43" fontId="0" fillId="5" borderId="0" xfId="1" applyFont="1" applyFill="1"/>
    <xf numFmtId="0" fontId="0" fillId="5" borderId="0" xfId="0" applyFill="1" applyAlignment="1">
      <alignment horizontal="center"/>
    </xf>
    <xf numFmtId="43" fontId="0" fillId="0" borderId="1" xfId="1" applyFont="1" applyBorder="1"/>
    <xf numFmtId="0" fontId="1" fillId="0" borderId="1" xfId="0" applyFont="1" applyBorder="1" applyAlignment="1">
      <alignment wrapText="1"/>
    </xf>
    <xf numFmtId="0" fontId="0" fillId="0" borderId="2" xfId="0" applyBorder="1" applyAlignment="1">
      <alignment horizontal="center"/>
    </xf>
    <xf numFmtId="0" fontId="0" fillId="0" borderId="2" xfId="0" applyBorder="1"/>
    <xf numFmtId="0" fontId="0" fillId="0" borderId="1" xfId="0" applyBorder="1" applyAlignment="1">
      <alignment horizontal="center" wrapText="1"/>
    </xf>
    <xf numFmtId="43" fontId="1" fillId="5" borderId="1" xfId="1" applyFont="1" applyFill="1" applyBorder="1"/>
    <xf numFmtId="9" fontId="0" fillId="0" borderId="1" xfId="0" applyNumberFormat="1" applyBorder="1"/>
    <xf numFmtId="43" fontId="1" fillId="0" borderId="1" xfId="1" applyFont="1" applyBorder="1"/>
    <xf numFmtId="0" fontId="4" fillId="0" borderId="1" xfId="0" applyFont="1" applyBorder="1"/>
    <xf numFmtId="0" fontId="7" fillId="0" borderId="1" xfId="0" applyFont="1" applyBorder="1"/>
    <xf numFmtId="0" fontId="7" fillId="0" borderId="0" xfId="0" applyFont="1"/>
    <xf numFmtId="0" fontId="0" fillId="0" borderId="1" xfId="0" applyBorder="1" applyAlignment="1">
      <alignment horizontal="center" vertical="top"/>
    </xf>
    <xf numFmtId="0" fontId="2" fillId="0" borderId="0" xfId="0" applyFont="1" applyAlignment="1">
      <alignment horizontal="left" vertical="top"/>
    </xf>
    <xf numFmtId="0" fontId="9" fillId="6" borderId="1" xfId="0" applyFont="1" applyFill="1" applyBorder="1" applyAlignment="1">
      <alignment vertical="top" wrapText="1"/>
    </xf>
    <xf numFmtId="0" fontId="1" fillId="6" borderId="1" xfId="0" applyFont="1" applyFill="1" applyBorder="1" applyAlignment="1">
      <alignment horizontal="left" vertical="top" wrapText="1"/>
    </xf>
    <xf numFmtId="0" fontId="2" fillId="0" borderId="1" xfId="0" applyFont="1" applyBorder="1" applyAlignment="1">
      <alignment vertical="top" wrapText="1"/>
    </xf>
    <xf numFmtId="0" fontId="0" fillId="5" borderId="1" xfId="0" applyFill="1" applyBorder="1" applyAlignment="1">
      <alignment vertical="top" wrapText="1"/>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horizontal="center" vertical="top"/>
    </xf>
    <xf numFmtId="0" fontId="9" fillId="6" borderId="1" xfId="0" applyFont="1" applyFill="1" applyBorder="1" applyAlignment="1">
      <alignment horizontal="center" vertical="top" wrapText="1"/>
    </xf>
    <xf numFmtId="0" fontId="2" fillId="0" borderId="1" xfId="0" applyFont="1" applyBorder="1" applyAlignment="1">
      <alignment horizontal="center" vertical="top"/>
    </xf>
    <xf numFmtId="43" fontId="1" fillId="0" borderId="1" xfId="1" applyFont="1" applyBorder="1" applyAlignment="1">
      <alignment horizontal="center"/>
    </xf>
    <xf numFmtId="0" fontId="11" fillId="0" borderId="0" xfId="0" applyFont="1" applyAlignment="1">
      <alignment vertical="center"/>
    </xf>
    <xf numFmtId="0" fontId="12" fillId="7" borderId="7" xfId="0" applyFont="1" applyFill="1" applyBorder="1" applyAlignment="1">
      <alignment horizontal="center" vertical="center"/>
    </xf>
    <xf numFmtId="0" fontId="11" fillId="0" borderId="7" xfId="0" applyFont="1" applyBorder="1" applyAlignment="1">
      <alignment vertical="center"/>
    </xf>
    <xf numFmtId="0" fontId="11" fillId="0" borderId="0" xfId="0" applyFont="1"/>
    <xf numFmtId="0" fontId="0" fillId="0" borderId="1" xfId="0" applyBorder="1" applyAlignment="1">
      <alignment horizontal="center" vertical="top" wrapText="1"/>
    </xf>
    <xf numFmtId="0" fontId="7" fillId="8" borderId="1" xfId="0" applyFont="1" applyFill="1" applyBorder="1"/>
    <xf numFmtId="0" fontId="7" fillId="9" borderId="1" xfId="0" applyFont="1" applyFill="1" applyBorder="1"/>
    <xf numFmtId="0" fontId="7" fillId="2" borderId="1" xfId="0" applyFont="1" applyFill="1" applyBorder="1"/>
    <xf numFmtId="0" fontId="7" fillId="10" borderId="1" xfId="0" applyFont="1" applyFill="1" applyBorder="1"/>
    <xf numFmtId="0" fontId="7" fillId="4" borderId="1" xfId="0" applyFont="1" applyFill="1" applyBorder="1"/>
    <xf numFmtId="0" fontId="7" fillId="11" borderId="1" xfId="0" applyFont="1" applyFill="1" applyBorder="1"/>
    <xf numFmtId="0" fontId="7" fillId="12" borderId="1" xfId="0" applyFont="1" applyFill="1" applyBorder="1"/>
    <xf numFmtId="0" fontId="7" fillId="13" borderId="1" xfId="0" applyFont="1" applyFill="1" applyBorder="1"/>
    <xf numFmtId="0" fontId="7" fillId="14" borderId="1" xfId="0" applyFont="1" applyFill="1" applyBorder="1"/>
    <xf numFmtId="0" fontId="7" fillId="15" borderId="1" xfId="0" applyFont="1" applyFill="1" applyBorder="1"/>
    <xf numFmtId="0" fontId="7" fillId="16" borderId="1" xfId="0" applyFont="1" applyFill="1" applyBorder="1"/>
    <xf numFmtId="0" fontId="7" fillId="17" borderId="1" xfId="0" applyFont="1" applyFill="1" applyBorder="1"/>
    <xf numFmtId="0" fontId="7" fillId="18" borderId="1" xfId="0" applyFont="1" applyFill="1" applyBorder="1"/>
    <xf numFmtId="0" fontId="7" fillId="19" borderId="1" xfId="0" applyFont="1" applyFill="1" applyBorder="1"/>
    <xf numFmtId="43" fontId="0" fillId="0" borderId="1" xfId="1" applyFont="1" applyBorder="1" applyAlignment="1">
      <alignment horizontal="right" vertical="top" wrapText="1"/>
    </xf>
    <xf numFmtId="0" fontId="0" fillId="0" borderId="1" xfId="0" applyBorder="1" applyAlignment="1">
      <alignment horizontal="right" vertical="top" wrapText="1"/>
    </xf>
    <xf numFmtId="4" fontId="0" fillId="0" borderId="1" xfId="0" applyNumberFormat="1" applyBorder="1" applyAlignment="1">
      <alignment horizontal="right" vertical="top" wrapText="1"/>
    </xf>
    <xf numFmtId="0" fontId="0" fillId="0" borderId="1" xfId="0" applyBorder="1" applyAlignment="1">
      <alignment vertical="top"/>
    </xf>
    <xf numFmtId="0" fontId="13" fillId="0" borderId="0" xfId="0" applyFont="1" applyAlignment="1">
      <alignment vertical="center"/>
    </xf>
    <xf numFmtId="0" fontId="7" fillId="5" borderId="1" xfId="0" applyFont="1" applyFill="1" applyBorder="1"/>
    <xf numFmtId="0" fontId="7" fillId="20" borderId="1" xfId="0" applyFont="1" applyFill="1" applyBorder="1"/>
    <xf numFmtId="0" fontId="0" fillId="0" borderId="1" xfId="0" applyBorder="1" applyAlignment="1">
      <alignment horizontal="left" vertical="top" wrapText="1"/>
    </xf>
    <xf numFmtId="0" fontId="1" fillId="0" borderId="1" xfId="0" applyFont="1" applyBorder="1" applyAlignment="1">
      <alignment vertical="top" wrapText="1"/>
    </xf>
    <xf numFmtId="0" fontId="11" fillId="0" borderId="0" xfId="0" applyFont="1" applyAlignment="1">
      <alignment horizontal="left" vertical="top"/>
    </xf>
    <xf numFmtId="0" fontId="12" fillId="7" borderId="7" xfId="0" applyFont="1" applyFill="1" applyBorder="1" applyAlignment="1">
      <alignment horizontal="center" vertical="top"/>
    </xf>
    <xf numFmtId="0" fontId="0" fillId="0" borderId="1" xfId="0" applyBorder="1" applyAlignment="1">
      <alignment horizontal="center" vertical="top" wrapText="1"/>
    </xf>
    <xf numFmtId="0" fontId="1" fillId="0" borderId="1" xfId="0" applyFont="1" applyBorder="1" applyAlignment="1">
      <alignment horizontal="center"/>
    </xf>
    <xf numFmtId="0" fontId="0" fillId="0" borderId="1" xfId="0" applyBorder="1" applyAlignment="1">
      <alignment horizontal="center" wrapText="1"/>
    </xf>
    <xf numFmtId="43" fontId="1" fillId="0" borderId="0" xfId="0" applyNumberFormat="1" applyFont="1"/>
    <xf numFmtId="164" fontId="0" fillId="0" borderId="0" xfId="0" applyNumberFormat="1"/>
    <xf numFmtId="43" fontId="1" fillId="5" borderId="1" xfId="0" applyNumberFormat="1" applyFont="1" applyFill="1" applyBorder="1"/>
    <xf numFmtId="164" fontId="0" fillId="5" borderId="0" xfId="0" applyNumberFormat="1" applyFill="1"/>
    <xf numFmtId="0" fontId="7" fillId="0" borderId="1" xfId="0" applyFont="1" applyFill="1" applyBorder="1"/>
    <xf numFmtId="0" fontId="7" fillId="0" borderId="0" xfId="0" applyFont="1" applyFill="1"/>
    <xf numFmtId="4" fontId="1" fillId="0" borderId="1" xfId="0" applyNumberFormat="1" applyFont="1" applyBorder="1" applyAlignment="1">
      <alignment vertical="top"/>
    </xf>
    <xf numFmtId="0" fontId="0" fillId="0" borderId="1" xfId="0" applyBorder="1" applyAlignment="1">
      <alignment horizontal="left" vertical="top" wrapText="1"/>
    </xf>
    <xf numFmtId="0" fontId="7" fillId="0" borderId="1" xfId="0" applyFont="1" applyFill="1" applyBorder="1" applyAlignment="1">
      <alignment horizontal="center"/>
    </xf>
    <xf numFmtId="0" fontId="1" fillId="0" borderId="1" xfId="0" applyFont="1" applyBorder="1"/>
    <xf numFmtId="0" fontId="1" fillId="5" borderId="0" xfId="0" applyFont="1" applyFill="1" applyBorder="1" applyAlignment="1">
      <alignment horizontal="center"/>
    </xf>
    <xf numFmtId="0" fontId="11" fillId="5" borderId="0" xfId="0" applyFont="1" applyFill="1" applyAlignment="1">
      <alignment vertical="center"/>
    </xf>
    <xf numFmtId="0" fontId="13" fillId="5" borderId="0" xfId="0" applyFont="1" applyFill="1" applyAlignment="1">
      <alignment vertical="center"/>
    </xf>
    <xf numFmtId="0" fontId="6" fillId="0" borderId="1" xfId="0" applyFont="1" applyBorder="1" applyAlignment="1">
      <alignment horizontal="center" vertical="top"/>
    </xf>
    <xf numFmtId="0" fontId="1" fillId="0" borderId="1" xfId="0" applyFont="1" applyBorder="1" applyAlignment="1">
      <alignment horizontal="center" vertical="top"/>
    </xf>
    <xf numFmtId="0" fontId="0" fillId="0" borderId="1" xfId="0" applyBorder="1" applyAlignment="1">
      <alignment horizontal="center" wrapText="1"/>
    </xf>
    <xf numFmtId="0" fontId="1" fillId="0" borderId="1" xfId="0" applyFont="1" applyFill="1" applyBorder="1" applyAlignment="1">
      <alignment horizontal="center"/>
    </xf>
    <xf numFmtId="0" fontId="1" fillId="0" borderId="1" xfId="0" applyFont="1" applyBorder="1" applyAlignment="1">
      <alignment vertical="center" wrapText="1"/>
    </xf>
    <xf numFmtId="0" fontId="0" fillId="0" borderId="1" xfId="0" applyBorder="1" applyAlignment="1">
      <alignment vertical="center" wrapText="1"/>
    </xf>
    <xf numFmtId="0" fontId="11" fillId="0" borderId="11" xfId="0" applyFont="1" applyBorder="1" applyAlignment="1">
      <alignment horizontal="left" vertical="top"/>
    </xf>
    <xf numFmtId="0" fontId="11" fillId="0" borderId="12" xfId="0" applyFont="1" applyBorder="1" applyAlignment="1">
      <alignment horizontal="left" vertical="top"/>
    </xf>
    <xf numFmtId="0" fontId="10" fillId="0" borderId="8"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0" fillId="0" borderId="1" xfId="0" applyBorder="1" applyAlignment="1">
      <alignment horizontal="center" vertical="top" wrapText="1"/>
    </xf>
    <xf numFmtId="0" fontId="15" fillId="0" borderId="1" xfId="0" applyFont="1" applyFill="1" applyBorder="1" applyAlignment="1">
      <alignment horizontal="center" vertical="top" wrapText="1"/>
    </xf>
    <xf numFmtId="0" fontId="6" fillId="0" borderId="1" xfId="0" applyFont="1" applyBorder="1" applyAlignment="1">
      <alignment horizontal="center"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top"/>
    </xf>
    <xf numFmtId="0" fontId="11" fillId="0" borderId="1" xfId="0" applyFont="1" applyBorder="1" applyAlignment="1">
      <alignment horizontal="left" vertical="top"/>
    </xf>
    <xf numFmtId="0" fontId="8" fillId="0" borderId="0" xfId="0" applyFont="1" applyAlignment="1">
      <alignment horizontal="center" vertical="top"/>
    </xf>
    <xf numFmtId="0" fontId="2" fillId="0" borderId="9" xfId="0" applyFont="1" applyBorder="1" applyAlignment="1">
      <alignment horizontal="center" vertical="top"/>
    </xf>
    <xf numFmtId="0" fontId="2" fillId="0" borderId="10" xfId="0" applyFont="1" applyBorder="1" applyAlignment="1">
      <alignment horizontal="center" vertical="top"/>
    </xf>
    <xf numFmtId="0" fontId="11" fillId="0" borderId="13" xfId="0" applyFont="1" applyBorder="1" applyAlignment="1">
      <alignment horizontal="left" vertical="top"/>
    </xf>
    <xf numFmtId="0" fontId="11" fillId="0" borderId="14" xfId="0" applyFont="1" applyBorder="1" applyAlignment="1">
      <alignment horizontal="left" vertical="top"/>
    </xf>
    <xf numFmtId="0" fontId="0" fillId="0" borderId="1" xfId="0" applyBorder="1" applyAlignment="1">
      <alignment horizontal="center" vertical="center" wrapText="1"/>
    </xf>
    <xf numFmtId="0" fontId="1" fillId="5" borderId="0" xfId="0" applyFont="1" applyFill="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0" fillId="0" borderId="3"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center" wrapText="1"/>
    </xf>
    <xf numFmtId="43" fontId="0" fillId="0" borderId="1" xfId="1" applyFont="1" applyFill="1" applyBorder="1" applyAlignment="1">
      <alignment horizontal="center" wrapText="1"/>
    </xf>
    <xf numFmtId="0" fontId="1" fillId="5" borderId="0" xfId="0" applyFont="1" applyFill="1" applyBorder="1" applyAlignment="1">
      <alignment horizontal="center" wrapText="1"/>
    </xf>
    <xf numFmtId="0" fontId="1" fillId="5" borderId="0" xfId="0" applyFont="1" applyFill="1" applyBorder="1" applyAlignment="1">
      <alignment horizontal="center"/>
    </xf>
    <xf numFmtId="43" fontId="0" fillId="0" borderId="1" xfId="1" applyFont="1" applyFill="1" applyBorder="1" applyAlignment="1">
      <alignment horizontal="center" vertical="center"/>
    </xf>
    <xf numFmtId="0" fontId="1" fillId="5" borderId="1" xfId="0" applyFont="1" applyFill="1" applyBorder="1" applyAlignment="1">
      <alignment horizontal="center" vertical="center"/>
    </xf>
  </cellXfs>
  <cellStyles count="2">
    <cellStyle name="Comma" xfId="1" builtinId="3"/>
    <cellStyle name="Normal" xfId="0" builtinId="0"/>
  </cellStyles>
  <dxfs count="0"/>
  <tableStyles count="0" defaultTableStyle="TableStyleMedium9" defaultPivotStyle="PivotStyleLight16"/>
  <colors>
    <mruColors>
      <color rgb="FF537E42"/>
      <color rgb="FF977F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4"/>
  <sheetViews>
    <sheetView tabSelected="1" workbookViewId="0"/>
  </sheetViews>
  <sheetFormatPr defaultColWidth="8.81640625" defaultRowHeight="14" x14ac:dyDescent="0.3"/>
  <cols>
    <col min="1" max="1" width="1.1796875" style="51" customWidth="1"/>
    <col min="2" max="2" width="3.453125" style="51" bestFit="1" customWidth="1"/>
    <col min="3" max="3" width="28.26953125" style="76" bestFit="1" customWidth="1"/>
    <col min="4" max="4" width="54.7265625" style="51" bestFit="1" customWidth="1"/>
    <col min="5" max="5" width="12" style="51" bestFit="1" customWidth="1"/>
    <col min="6" max="6" width="10.453125" style="51" bestFit="1" customWidth="1"/>
    <col min="7" max="16384" width="8.81640625" style="51"/>
  </cols>
  <sheetData>
    <row r="1" spans="2:6" customFormat="1" ht="17.5" x14ac:dyDescent="0.35">
      <c r="B1" s="102" t="s">
        <v>190</v>
      </c>
      <c r="C1" s="102"/>
      <c r="D1" s="102"/>
    </row>
    <row r="2" spans="2:6" s="48" customFormat="1" x14ac:dyDescent="0.35">
      <c r="B2" s="49" t="s">
        <v>87</v>
      </c>
      <c r="C2" s="77" t="s">
        <v>2</v>
      </c>
      <c r="D2" s="49" t="s">
        <v>88</v>
      </c>
      <c r="E2" s="48" t="s">
        <v>102</v>
      </c>
    </row>
    <row r="3" spans="2:6" s="48" customFormat="1" x14ac:dyDescent="0.35">
      <c r="B3" s="100">
        <v>1</v>
      </c>
      <c r="C3" s="100" t="s">
        <v>89</v>
      </c>
      <c r="D3" s="100" t="s">
        <v>38</v>
      </c>
      <c r="E3" s="48">
        <v>6</v>
      </c>
    </row>
    <row r="4" spans="2:6" s="48" customFormat="1" x14ac:dyDescent="0.35">
      <c r="B4" s="101"/>
      <c r="C4" s="101"/>
      <c r="D4" s="101"/>
    </row>
    <row r="5" spans="2:6" s="48" customFormat="1" x14ac:dyDescent="0.35">
      <c r="B5" s="100">
        <v>2</v>
      </c>
      <c r="C5" s="100" t="s">
        <v>90</v>
      </c>
      <c r="D5" s="100" t="s">
        <v>160</v>
      </c>
      <c r="E5" s="48">
        <v>4</v>
      </c>
    </row>
    <row r="6" spans="2:6" s="48" customFormat="1" x14ac:dyDescent="0.35">
      <c r="B6" s="101"/>
      <c r="C6" s="101"/>
      <c r="D6" s="101"/>
    </row>
    <row r="7" spans="2:6" s="48" customFormat="1" x14ac:dyDescent="0.35">
      <c r="B7" s="100">
        <v>3</v>
      </c>
      <c r="C7" s="100" t="s">
        <v>40</v>
      </c>
      <c r="D7" s="100" t="s">
        <v>161</v>
      </c>
      <c r="E7" s="48">
        <v>4</v>
      </c>
    </row>
    <row r="8" spans="2:6" s="48" customFormat="1" x14ac:dyDescent="0.35">
      <c r="B8" s="101"/>
      <c r="C8" s="101"/>
      <c r="D8" s="101"/>
      <c r="F8" s="92"/>
    </row>
    <row r="9" spans="2:6" s="48" customFormat="1" x14ac:dyDescent="0.35">
      <c r="B9" s="100">
        <v>4</v>
      </c>
      <c r="C9" s="100" t="s">
        <v>81</v>
      </c>
      <c r="D9" s="100" t="s">
        <v>141</v>
      </c>
      <c r="E9" s="48">
        <v>6</v>
      </c>
      <c r="F9" s="92"/>
    </row>
    <row r="10" spans="2:6" s="48" customFormat="1" x14ac:dyDescent="0.35">
      <c r="B10" s="101"/>
      <c r="C10" s="101"/>
      <c r="D10" s="101"/>
      <c r="F10" s="92"/>
    </row>
    <row r="11" spans="2:6" s="48" customFormat="1" x14ac:dyDescent="0.35">
      <c r="B11" s="100">
        <v>5</v>
      </c>
      <c r="C11" s="100" t="s">
        <v>93</v>
      </c>
      <c r="D11" s="100" t="s">
        <v>142</v>
      </c>
      <c r="E11" s="48">
        <v>6</v>
      </c>
      <c r="F11" s="92"/>
    </row>
    <row r="12" spans="2:6" s="48" customFormat="1" x14ac:dyDescent="0.35">
      <c r="B12" s="101"/>
      <c r="C12" s="101"/>
      <c r="D12" s="101"/>
      <c r="F12" s="92"/>
    </row>
    <row r="13" spans="2:6" s="48" customFormat="1" x14ac:dyDescent="0.35">
      <c r="B13" s="100">
        <v>6</v>
      </c>
      <c r="C13" s="100" t="s">
        <v>94</v>
      </c>
      <c r="D13" s="100" t="s">
        <v>142</v>
      </c>
      <c r="F13" s="92"/>
    </row>
    <row r="14" spans="2:6" s="48" customFormat="1" x14ac:dyDescent="0.35">
      <c r="B14" s="101"/>
      <c r="C14" s="101"/>
      <c r="D14" s="101"/>
      <c r="F14" s="92"/>
    </row>
    <row r="15" spans="2:6" s="48" customFormat="1" x14ac:dyDescent="0.35">
      <c r="B15" s="100">
        <v>7</v>
      </c>
      <c r="C15" s="100" t="s">
        <v>134</v>
      </c>
      <c r="D15" s="100" t="s">
        <v>162</v>
      </c>
      <c r="F15" s="92"/>
    </row>
    <row r="16" spans="2:6" s="48" customFormat="1" x14ac:dyDescent="0.35">
      <c r="B16" s="101"/>
      <c r="C16" s="101"/>
      <c r="D16" s="101"/>
      <c r="F16" s="92"/>
    </row>
    <row r="17" spans="2:6" s="48" customFormat="1" x14ac:dyDescent="0.35">
      <c r="B17" s="100">
        <v>8</v>
      </c>
      <c r="C17" s="100" t="s">
        <v>170</v>
      </c>
      <c r="D17" s="100" t="s">
        <v>163</v>
      </c>
      <c r="E17" s="48">
        <v>6</v>
      </c>
      <c r="F17" s="92"/>
    </row>
    <row r="18" spans="2:6" s="48" customFormat="1" x14ac:dyDescent="0.35">
      <c r="B18" s="101"/>
      <c r="C18" s="101"/>
      <c r="D18" s="101"/>
      <c r="F18" s="92"/>
    </row>
    <row r="19" spans="2:6" s="48" customFormat="1" x14ac:dyDescent="0.35">
      <c r="B19" s="100">
        <v>9</v>
      </c>
      <c r="C19" s="100" t="s">
        <v>97</v>
      </c>
      <c r="D19" s="100" t="s">
        <v>163</v>
      </c>
      <c r="F19" s="92"/>
    </row>
    <row r="20" spans="2:6" s="48" customFormat="1" x14ac:dyDescent="0.35">
      <c r="B20" s="101"/>
      <c r="C20" s="101"/>
      <c r="D20" s="101"/>
      <c r="F20" s="92"/>
    </row>
    <row r="21" spans="2:6" s="48" customFormat="1" x14ac:dyDescent="0.35">
      <c r="B21" s="100">
        <v>10</v>
      </c>
      <c r="C21" s="100" t="s">
        <v>101</v>
      </c>
      <c r="D21" s="100" t="s">
        <v>164</v>
      </c>
      <c r="F21" s="92"/>
    </row>
    <row r="22" spans="2:6" s="48" customFormat="1" x14ac:dyDescent="0.35">
      <c r="B22" s="101"/>
      <c r="C22" s="101"/>
      <c r="D22" s="101"/>
      <c r="F22" s="92"/>
    </row>
    <row r="23" spans="2:6" s="48" customFormat="1" x14ac:dyDescent="0.35">
      <c r="B23" s="100">
        <v>11</v>
      </c>
      <c r="C23" s="100" t="s">
        <v>98</v>
      </c>
      <c r="D23" s="100" t="s">
        <v>165</v>
      </c>
      <c r="F23" s="92"/>
    </row>
    <row r="24" spans="2:6" s="48" customFormat="1" x14ac:dyDescent="0.35">
      <c r="B24" s="101"/>
      <c r="C24" s="101"/>
      <c r="D24" s="101"/>
      <c r="F24" s="92"/>
    </row>
    <row r="25" spans="2:6" s="48" customFormat="1" x14ac:dyDescent="0.35">
      <c r="B25" s="100">
        <v>12</v>
      </c>
      <c r="C25" s="100" t="s">
        <v>145</v>
      </c>
      <c r="D25" s="100" t="s">
        <v>167</v>
      </c>
      <c r="F25" s="92"/>
    </row>
    <row r="26" spans="2:6" s="48" customFormat="1" x14ac:dyDescent="0.35">
      <c r="B26" s="101"/>
      <c r="C26" s="101"/>
      <c r="D26" s="101"/>
      <c r="F26" s="92"/>
    </row>
    <row r="27" spans="2:6" s="48" customFormat="1" x14ac:dyDescent="0.35">
      <c r="B27" s="100">
        <v>13</v>
      </c>
      <c r="C27" s="100" t="s">
        <v>129</v>
      </c>
      <c r="D27" s="100" t="s">
        <v>166</v>
      </c>
      <c r="E27" s="48">
        <v>6</v>
      </c>
      <c r="F27" s="92"/>
    </row>
    <row r="28" spans="2:6" s="48" customFormat="1" x14ac:dyDescent="0.35">
      <c r="B28" s="101"/>
      <c r="C28" s="101"/>
      <c r="D28" s="101"/>
      <c r="F28" s="92"/>
    </row>
    <row r="29" spans="2:6" s="48" customFormat="1" x14ac:dyDescent="0.35">
      <c r="B29" s="100">
        <v>14</v>
      </c>
      <c r="C29" s="100" t="s">
        <v>128</v>
      </c>
      <c r="D29" s="100" t="s">
        <v>168</v>
      </c>
      <c r="E29" s="48">
        <v>6</v>
      </c>
      <c r="F29" s="92"/>
    </row>
    <row r="30" spans="2:6" s="48" customFormat="1" x14ac:dyDescent="0.35">
      <c r="B30" s="101"/>
      <c r="C30" s="101"/>
      <c r="D30" s="101"/>
      <c r="F30" s="92"/>
    </row>
    <row r="31" spans="2:6" s="48" customFormat="1" x14ac:dyDescent="0.35">
      <c r="B31" s="100">
        <v>15</v>
      </c>
      <c r="C31" s="100" t="s">
        <v>82</v>
      </c>
      <c r="D31" s="100" t="s">
        <v>168</v>
      </c>
      <c r="F31" s="92"/>
    </row>
    <row r="32" spans="2:6" s="48" customFormat="1" x14ac:dyDescent="0.35">
      <c r="B32" s="101"/>
      <c r="C32" s="101"/>
      <c r="D32" s="101"/>
      <c r="F32" s="92"/>
    </row>
    <row r="33" spans="2:6" s="48" customFormat="1" x14ac:dyDescent="0.35">
      <c r="B33" s="100">
        <v>16</v>
      </c>
      <c r="C33" s="100" t="s">
        <v>39</v>
      </c>
      <c r="D33" s="100" t="s">
        <v>169</v>
      </c>
      <c r="F33" s="93"/>
    </row>
    <row r="34" spans="2:6" s="48" customFormat="1" x14ac:dyDescent="0.35">
      <c r="B34" s="101"/>
      <c r="C34" s="101"/>
      <c r="D34" s="101"/>
      <c r="F34" s="71"/>
    </row>
  </sheetData>
  <mergeCells count="49">
    <mergeCell ref="B27:B28"/>
    <mergeCell ref="B29:B30"/>
    <mergeCell ref="B31:B32"/>
    <mergeCell ref="B33:B34"/>
    <mergeCell ref="B17:B18"/>
    <mergeCell ref="B19:B20"/>
    <mergeCell ref="B21:B22"/>
    <mergeCell ref="B23:B24"/>
    <mergeCell ref="B25:B26"/>
    <mergeCell ref="B7:B8"/>
    <mergeCell ref="B9:B10"/>
    <mergeCell ref="B11:B12"/>
    <mergeCell ref="B13:B14"/>
    <mergeCell ref="B15:B16"/>
    <mergeCell ref="B1:D1"/>
    <mergeCell ref="D3:D4"/>
    <mergeCell ref="C3:C4"/>
    <mergeCell ref="C5:C6"/>
    <mergeCell ref="D5:D6"/>
    <mergeCell ref="B3:B4"/>
    <mergeCell ref="B5:B6"/>
    <mergeCell ref="C7:C8"/>
    <mergeCell ref="D7:D8"/>
    <mergeCell ref="C9:C10"/>
    <mergeCell ref="D9:D10"/>
    <mergeCell ref="C11:C12"/>
    <mergeCell ref="D11:D12"/>
    <mergeCell ref="C13:C14"/>
    <mergeCell ref="D13:D14"/>
    <mergeCell ref="C15:C16"/>
    <mergeCell ref="D15:D16"/>
    <mergeCell ref="C17:C18"/>
    <mergeCell ref="D17:D18"/>
    <mergeCell ref="C19:C20"/>
    <mergeCell ref="D19:D20"/>
    <mergeCell ref="C21:C22"/>
    <mergeCell ref="D21:D22"/>
    <mergeCell ref="C23:C24"/>
    <mergeCell ref="D23:D24"/>
    <mergeCell ref="C31:C32"/>
    <mergeCell ref="D31:D32"/>
    <mergeCell ref="C33:C34"/>
    <mergeCell ref="D33:D34"/>
    <mergeCell ref="C25:C26"/>
    <mergeCell ref="D25:D26"/>
    <mergeCell ref="C27:C28"/>
    <mergeCell ref="D27:D28"/>
    <mergeCell ref="C29:C30"/>
    <mergeCell ref="D29:D30"/>
  </mergeCells>
  <printOptions horizontalCentered="1"/>
  <pageMargins left="0.23622047244094491" right="0.23622047244094491" top="0.74803149606299213" bottom="0.74803149606299213" header="0.31496062992125984" footer="0.31496062992125984"/>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Q43"/>
  <sheetViews>
    <sheetView workbookViewId="0">
      <pane ySplit="4" topLeftCell="A47" activePane="bottomLeft" state="frozen"/>
      <selection pane="bottomLeft" activeCell="M26" sqref="M26"/>
    </sheetView>
  </sheetViews>
  <sheetFormatPr defaultRowHeight="14.5" x14ac:dyDescent="0.35"/>
  <cols>
    <col min="1" max="1" width="6.453125" bestFit="1" customWidth="1"/>
    <col min="2" max="2" width="51.81640625" customWidth="1"/>
    <col min="3" max="3" width="4.1796875" customWidth="1"/>
    <col min="4" max="4" width="4.6328125" customWidth="1"/>
    <col min="5" max="5" width="4.90625" customWidth="1"/>
    <col min="6" max="6" width="4.81640625" customWidth="1"/>
    <col min="7" max="7" width="5.81640625" customWidth="1"/>
    <col min="8" max="8" width="5.6328125" customWidth="1"/>
    <col min="9" max="9" width="5.81640625" customWidth="1"/>
    <col min="10" max="10" width="5.453125" customWidth="1"/>
    <col min="11" max="11" width="7" customWidth="1"/>
    <col min="12" max="12" width="7.6328125" customWidth="1"/>
    <col min="13" max="13" width="7.453125" customWidth="1"/>
    <col min="14" max="14" width="5.6328125" customWidth="1"/>
    <col min="15" max="17" width="4.90625" customWidth="1"/>
  </cols>
  <sheetData>
    <row r="2" spans="1:17" ht="26" customHeight="1" x14ac:dyDescent="0.35">
      <c r="A2" s="6"/>
      <c r="B2" s="6"/>
      <c r="C2" s="106" t="s">
        <v>192</v>
      </c>
      <c r="D2" s="107"/>
      <c r="E2" s="107"/>
      <c r="F2" s="107"/>
      <c r="G2" s="107"/>
      <c r="H2" s="107"/>
      <c r="I2" s="107"/>
      <c r="J2" s="107"/>
      <c r="K2" s="107"/>
      <c r="L2" s="107"/>
      <c r="M2" s="107"/>
      <c r="N2" s="108"/>
      <c r="O2" s="104" t="s">
        <v>107</v>
      </c>
      <c r="P2" s="104"/>
      <c r="Q2" s="104"/>
    </row>
    <row r="3" spans="1:17" s="1" customFormat="1" x14ac:dyDescent="0.35">
      <c r="A3" s="103" t="s">
        <v>24</v>
      </c>
      <c r="B3" s="103" t="s">
        <v>41</v>
      </c>
      <c r="C3" s="109"/>
      <c r="D3" s="110"/>
      <c r="E3" s="110"/>
      <c r="F3" s="110"/>
      <c r="G3" s="110"/>
      <c r="H3" s="110"/>
      <c r="I3" s="110"/>
      <c r="J3" s="110"/>
      <c r="K3" s="110"/>
      <c r="L3" s="110"/>
      <c r="M3" s="110"/>
      <c r="N3" s="111"/>
      <c r="O3" s="105" t="s">
        <v>83</v>
      </c>
      <c r="P3" s="105"/>
      <c r="Q3" s="105"/>
    </row>
    <row r="4" spans="1:17" ht="29" x14ac:dyDescent="0.35">
      <c r="A4" s="103"/>
      <c r="B4" s="103"/>
      <c r="C4" s="96" t="s">
        <v>194</v>
      </c>
      <c r="D4" s="96" t="s">
        <v>196</v>
      </c>
      <c r="E4" s="96" t="s">
        <v>198</v>
      </c>
      <c r="F4" s="96" t="s">
        <v>201</v>
      </c>
      <c r="G4" s="96" t="s">
        <v>203</v>
      </c>
      <c r="H4" s="96" t="s">
        <v>205</v>
      </c>
      <c r="I4" s="96" t="s">
        <v>208</v>
      </c>
      <c r="J4" s="96" t="s">
        <v>210</v>
      </c>
      <c r="K4" s="96" t="s">
        <v>213</v>
      </c>
      <c r="L4" s="96" t="s">
        <v>214</v>
      </c>
      <c r="M4" s="96" t="s">
        <v>215</v>
      </c>
      <c r="N4" s="20">
        <v>12</v>
      </c>
      <c r="O4" s="20">
        <v>13</v>
      </c>
      <c r="P4" s="20">
        <v>14</v>
      </c>
      <c r="Q4" s="20">
        <v>15</v>
      </c>
    </row>
    <row r="5" spans="1:17" x14ac:dyDescent="0.35">
      <c r="A5" s="36"/>
      <c r="B5" s="26" t="s">
        <v>191</v>
      </c>
      <c r="C5" s="8"/>
      <c r="D5" s="8"/>
      <c r="E5" s="8"/>
      <c r="F5" s="6"/>
      <c r="G5" s="6"/>
      <c r="H5" s="6"/>
      <c r="I5" s="6"/>
      <c r="J5" s="6"/>
      <c r="K5" s="6"/>
      <c r="L5" s="6"/>
      <c r="M5" s="6"/>
      <c r="N5" s="6"/>
      <c r="O5" s="6"/>
      <c r="P5" s="6"/>
      <c r="Q5" s="6"/>
    </row>
    <row r="6" spans="1:17" x14ac:dyDescent="0.35">
      <c r="A6" s="36">
        <v>1</v>
      </c>
      <c r="B6" s="11" t="s">
        <v>193</v>
      </c>
      <c r="C6" s="17"/>
      <c r="D6" s="6"/>
      <c r="E6" s="6"/>
      <c r="F6" s="6"/>
      <c r="G6" s="6"/>
      <c r="H6" s="6"/>
      <c r="I6" s="6"/>
      <c r="J6" s="6"/>
      <c r="K6" s="6"/>
      <c r="L6" s="6"/>
      <c r="M6" s="6"/>
      <c r="N6" s="6"/>
      <c r="O6" s="6"/>
      <c r="P6" s="6"/>
      <c r="Q6" s="6"/>
    </row>
    <row r="7" spans="1:17" x14ac:dyDescent="0.35">
      <c r="A7" s="36">
        <v>2</v>
      </c>
      <c r="B7" s="11" t="s">
        <v>195</v>
      </c>
      <c r="C7" s="6"/>
      <c r="D7" s="17"/>
      <c r="E7" s="6"/>
      <c r="F7" s="6"/>
      <c r="G7" s="6"/>
      <c r="H7" s="6"/>
      <c r="I7" s="6"/>
      <c r="J7" s="6"/>
      <c r="K7" s="6"/>
      <c r="L7" s="6"/>
      <c r="M7" s="6"/>
      <c r="N7" s="6"/>
      <c r="O7" s="6"/>
      <c r="P7" s="6"/>
      <c r="Q7" s="6"/>
    </row>
    <row r="8" spans="1:17" x14ac:dyDescent="0.35">
      <c r="A8" s="36">
        <v>3</v>
      </c>
      <c r="B8" s="11" t="s">
        <v>197</v>
      </c>
      <c r="C8" s="6"/>
      <c r="D8" s="6"/>
      <c r="E8" s="17"/>
      <c r="F8" s="6"/>
      <c r="G8" s="6"/>
      <c r="H8" s="6"/>
      <c r="I8" s="6"/>
      <c r="J8" s="6"/>
      <c r="K8" s="6"/>
      <c r="L8" s="6"/>
      <c r="M8" s="6"/>
      <c r="N8" s="6"/>
      <c r="O8" s="6"/>
      <c r="P8" s="6"/>
      <c r="Q8" s="6"/>
    </row>
    <row r="9" spans="1:17" ht="19.5" customHeight="1" x14ac:dyDescent="0.35">
      <c r="A9" s="36">
        <v>5</v>
      </c>
      <c r="B9" s="11" t="s">
        <v>51</v>
      </c>
      <c r="C9" s="6"/>
      <c r="D9" s="6"/>
      <c r="E9" s="17"/>
      <c r="F9" s="6"/>
      <c r="G9" s="6"/>
      <c r="H9" s="6"/>
      <c r="I9" s="6"/>
      <c r="J9" s="6"/>
      <c r="K9" s="6"/>
      <c r="L9" s="6"/>
      <c r="M9" s="6"/>
      <c r="N9" s="6"/>
      <c r="O9" s="6"/>
      <c r="P9" s="6"/>
      <c r="Q9" s="6"/>
    </row>
    <row r="10" spans="1:17" ht="19" customHeight="1" x14ac:dyDescent="0.35">
      <c r="A10" s="36">
        <v>6</v>
      </c>
      <c r="B10" s="11" t="s">
        <v>68</v>
      </c>
      <c r="C10" s="6"/>
      <c r="D10" s="6"/>
      <c r="E10" s="17"/>
      <c r="F10" s="6"/>
      <c r="G10" s="6"/>
      <c r="H10" s="6"/>
      <c r="I10" s="6"/>
      <c r="J10" s="6"/>
      <c r="K10" s="6"/>
      <c r="L10" s="6"/>
      <c r="M10" s="6"/>
      <c r="N10" s="6"/>
      <c r="O10" s="6"/>
      <c r="P10" s="6"/>
      <c r="Q10" s="6"/>
    </row>
    <row r="11" spans="1:17" x14ac:dyDescent="0.35">
      <c r="A11" s="36"/>
      <c r="B11" s="98" t="s">
        <v>199</v>
      </c>
      <c r="C11" s="6"/>
      <c r="D11" s="6"/>
      <c r="E11" s="6"/>
      <c r="F11" s="8"/>
      <c r="G11" s="8"/>
      <c r="H11" s="8"/>
      <c r="I11" s="6"/>
      <c r="J11" s="6"/>
      <c r="K11" s="6"/>
      <c r="L11" s="6"/>
      <c r="M11" s="6"/>
      <c r="N11" s="6"/>
      <c r="O11" s="6"/>
      <c r="P11" s="6"/>
      <c r="Q11" s="6"/>
    </row>
    <row r="12" spans="1:17" ht="27" customHeight="1" x14ac:dyDescent="0.35">
      <c r="A12" s="36">
        <v>7</v>
      </c>
      <c r="B12" s="11" t="s">
        <v>200</v>
      </c>
      <c r="C12" s="6"/>
      <c r="D12" s="6"/>
      <c r="E12" s="6"/>
      <c r="F12" s="17"/>
      <c r="G12" s="6"/>
      <c r="H12" s="6"/>
      <c r="I12" s="6"/>
      <c r="J12" s="6"/>
      <c r="K12" s="6"/>
      <c r="L12" s="6"/>
      <c r="M12" s="6"/>
      <c r="N12" s="6"/>
      <c r="O12" s="6"/>
      <c r="P12" s="6"/>
      <c r="Q12" s="6"/>
    </row>
    <row r="13" spans="1:17" x14ac:dyDescent="0.35">
      <c r="A13" s="36">
        <v>8</v>
      </c>
      <c r="B13" s="99" t="s">
        <v>202</v>
      </c>
      <c r="C13" s="6"/>
      <c r="D13" s="6"/>
      <c r="E13" s="6"/>
      <c r="F13" s="6"/>
      <c r="G13" s="17"/>
      <c r="H13" s="6"/>
      <c r="I13" s="6"/>
      <c r="J13" s="6"/>
      <c r="K13" s="6"/>
      <c r="L13" s="6"/>
      <c r="M13" s="6"/>
      <c r="N13" s="6"/>
      <c r="O13" s="6"/>
      <c r="P13" s="6"/>
      <c r="Q13" s="6"/>
    </row>
    <row r="14" spans="1:17" x14ac:dyDescent="0.35">
      <c r="A14" s="36">
        <v>9</v>
      </c>
      <c r="B14" s="99" t="s">
        <v>204</v>
      </c>
      <c r="C14" s="6"/>
      <c r="D14" s="6"/>
      <c r="E14" s="6"/>
      <c r="F14" s="6"/>
      <c r="G14" s="6"/>
      <c r="H14" s="17"/>
      <c r="I14" s="6"/>
      <c r="J14" s="6"/>
      <c r="K14" s="6"/>
      <c r="L14" s="6"/>
      <c r="M14" s="6"/>
      <c r="N14" s="6"/>
      <c r="O14" s="6"/>
      <c r="P14" s="6"/>
      <c r="Q14" s="6"/>
    </row>
    <row r="15" spans="1:17" x14ac:dyDescent="0.35">
      <c r="A15" s="36">
        <v>8</v>
      </c>
      <c r="B15" s="11" t="s">
        <v>140</v>
      </c>
      <c r="C15" s="6"/>
      <c r="D15" s="6"/>
      <c r="E15" s="6"/>
      <c r="F15" s="6"/>
      <c r="G15" s="6"/>
      <c r="H15" s="6"/>
      <c r="I15" s="6"/>
      <c r="J15" s="6"/>
      <c r="K15" s="6"/>
      <c r="L15" s="6"/>
      <c r="M15" s="6"/>
      <c r="N15" s="6"/>
      <c r="O15" s="6"/>
      <c r="P15" s="6"/>
      <c r="Q15" s="6"/>
    </row>
    <row r="16" spans="1:17" ht="16.5" customHeight="1" x14ac:dyDescent="0.35">
      <c r="A16" s="36">
        <v>9</v>
      </c>
      <c r="B16" s="5" t="s">
        <v>42</v>
      </c>
      <c r="C16" s="6"/>
      <c r="D16" s="6"/>
      <c r="E16" s="6"/>
      <c r="F16" s="6"/>
      <c r="G16" s="6"/>
      <c r="H16" s="6"/>
      <c r="I16" s="6"/>
      <c r="J16" s="6"/>
      <c r="K16" s="6"/>
      <c r="L16" s="6"/>
      <c r="M16" s="6"/>
      <c r="N16" s="6"/>
      <c r="O16" s="6"/>
      <c r="P16" s="6"/>
      <c r="Q16" s="6"/>
    </row>
    <row r="17" spans="1:17" x14ac:dyDescent="0.35">
      <c r="A17" s="36">
        <v>10</v>
      </c>
      <c r="B17" s="11" t="s">
        <v>43</v>
      </c>
      <c r="C17" s="6"/>
      <c r="D17" s="6"/>
      <c r="E17" s="6"/>
      <c r="F17" s="6"/>
      <c r="G17" s="6"/>
      <c r="H17" s="6"/>
      <c r="I17" s="6"/>
      <c r="J17" s="6"/>
      <c r="K17" s="6"/>
      <c r="L17" s="6"/>
      <c r="M17" s="6"/>
      <c r="N17" s="6"/>
      <c r="O17" s="6"/>
      <c r="P17" s="6"/>
      <c r="Q17" s="6"/>
    </row>
    <row r="18" spans="1:17" ht="29" x14ac:dyDescent="0.35">
      <c r="A18" s="36">
        <v>11</v>
      </c>
      <c r="B18" s="11" t="s">
        <v>69</v>
      </c>
      <c r="C18" s="6"/>
      <c r="D18" s="6"/>
      <c r="E18" s="6"/>
      <c r="F18" s="6"/>
      <c r="G18" s="6"/>
      <c r="H18" s="6"/>
      <c r="I18" s="6"/>
      <c r="J18" s="6"/>
      <c r="K18" s="6"/>
      <c r="L18" s="6"/>
      <c r="M18" s="6"/>
      <c r="N18" s="6"/>
      <c r="O18" s="6"/>
      <c r="P18" s="6"/>
      <c r="Q18" s="6"/>
    </row>
    <row r="19" spans="1:17" x14ac:dyDescent="0.35">
      <c r="A19" s="36">
        <v>12</v>
      </c>
      <c r="B19" s="11" t="s">
        <v>44</v>
      </c>
      <c r="C19" s="6"/>
      <c r="D19" s="6"/>
      <c r="E19" s="6"/>
      <c r="F19" s="6"/>
      <c r="G19" s="6"/>
      <c r="H19" s="6"/>
      <c r="I19" s="6"/>
      <c r="J19" s="33"/>
      <c r="K19" s="33"/>
      <c r="L19" s="33"/>
      <c r="M19" s="33"/>
      <c r="N19" s="33"/>
      <c r="O19" s="33"/>
      <c r="P19" s="33"/>
      <c r="Q19" s="33"/>
    </row>
    <row r="20" spans="1:17" ht="29" x14ac:dyDescent="0.35">
      <c r="A20" s="36">
        <v>13</v>
      </c>
      <c r="B20" s="11" t="s">
        <v>184</v>
      </c>
      <c r="C20" s="6"/>
      <c r="D20" s="6"/>
      <c r="E20" s="6"/>
      <c r="F20" s="6"/>
      <c r="G20" s="6"/>
      <c r="H20" s="6"/>
      <c r="I20" s="6"/>
      <c r="J20" s="33"/>
      <c r="K20" s="33"/>
      <c r="L20" s="33"/>
      <c r="M20" s="33"/>
      <c r="N20" s="33"/>
      <c r="O20" s="33"/>
      <c r="P20" s="33"/>
      <c r="Q20" s="33"/>
    </row>
    <row r="21" spans="1:17" x14ac:dyDescent="0.35">
      <c r="A21" s="36">
        <v>14</v>
      </c>
      <c r="B21" s="11" t="s">
        <v>45</v>
      </c>
      <c r="C21" s="6"/>
      <c r="D21" s="6"/>
      <c r="E21" s="6"/>
      <c r="F21" s="6"/>
      <c r="G21" s="6"/>
      <c r="H21" s="6"/>
      <c r="I21" s="6"/>
      <c r="J21" s="33"/>
      <c r="K21" s="33"/>
      <c r="L21" s="33"/>
      <c r="M21" s="33"/>
      <c r="N21" s="33"/>
      <c r="O21" s="33"/>
      <c r="P21" s="33"/>
      <c r="Q21" s="33"/>
    </row>
    <row r="22" spans="1:17" ht="32.5" customHeight="1" x14ac:dyDescent="0.35">
      <c r="A22" s="36">
        <v>15</v>
      </c>
      <c r="B22" s="5" t="s">
        <v>185</v>
      </c>
      <c r="C22" s="6"/>
      <c r="D22" s="6"/>
      <c r="E22" s="6"/>
      <c r="F22" s="6"/>
      <c r="G22" s="6"/>
      <c r="H22" s="6"/>
      <c r="I22" s="6"/>
      <c r="J22" s="6"/>
      <c r="K22" s="6"/>
      <c r="L22" s="6"/>
      <c r="M22" s="6"/>
      <c r="N22" s="6"/>
      <c r="O22" s="6"/>
      <c r="P22" s="6"/>
      <c r="Q22" s="6"/>
    </row>
    <row r="23" spans="1:17" ht="16.5" customHeight="1" x14ac:dyDescent="0.35">
      <c r="A23" s="36">
        <v>16</v>
      </c>
      <c r="B23" s="5" t="s">
        <v>46</v>
      </c>
      <c r="C23" s="6"/>
      <c r="D23" s="6"/>
      <c r="E23" s="6"/>
      <c r="F23" s="6"/>
      <c r="G23" s="6"/>
      <c r="H23" s="6"/>
      <c r="I23" s="6"/>
      <c r="J23" s="6"/>
      <c r="K23" s="6"/>
      <c r="L23" s="6"/>
      <c r="M23" s="6"/>
      <c r="N23" s="6"/>
      <c r="O23" s="6"/>
      <c r="P23" s="6"/>
      <c r="Q23" s="6"/>
    </row>
    <row r="24" spans="1:17" x14ac:dyDescent="0.35">
      <c r="A24" s="36">
        <v>17</v>
      </c>
      <c r="B24" s="11" t="s">
        <v>85</v>
      </c>
      <c r="C24" s="6"/>
      <c r="D24" s="6"/>
      <c r="E24" s="6"/>
      <c r="F24" s="6"/>
      <c r="G24" s="6"/>
      <c r="H24" s="6"/>
      <c r="I24" s="6"/>
      <c r="J24" s="6"/>
      <c r="K24" s="6"/>
      <c r="L24" s="6"/>
      <c r="M24" s="6"/>
      <c r="N24" s="6"/>
      <c r="O24" s="6"/>
      <c r="P24" s="6"/>
      <c r="Q24" s="6"/>
    </row>
    <row r="25" spans="1:17" x14ac:dyDescent="0.35">
      <c r="A25" s="36">
        <v>18</v>
      </c>
      <c r="B25" s="11" t="s">
        <v>52</v>
      </c>
      <c r="C25" s="6"/>
      <c r="D25" s="6"/>
      <c r="E25" s="6"/>
      <c r="F25" s="6"/>
      <c r="G25" s="6"/>
      <c r="H25" s="6"/>
      <c r="I25" s="6"/>
      <c r="J25" s="6"/>
      <c r="K25" s="6"/>
      <c r="L25" s="6"/>
      <c r="M25" s="6"/>
      <c r="N25" s="6"/>
      <c r="O25" s="6"/>
      <c r="P25" s="6"/>
      <c r="Q25" s="6"/>
    </row>
    <row r="26" spans="1:17" x14ac:dyDescent="0.35">
      <c r="A26" s="36"/>
      <c r="B26" s="75" t="s">
        <v>206</v>
      </c>
      <c r="C26" s="6"/>
      <c r="D26" s="6"/>
      <c r="E26" s="6"/>
      <c r="F26" s="6"/>
      <c r="G26" s="6"/>
      <c r="H26" s="6"/>
      <c r="I26" s="8"/>
      <c r="J26" s="8"/>
      <c r="K26" s="8"/>
      <c r="L26" s="6"/>
      <c r="M26" s="6"/>
      <c r="N26" s="6"/>
      <c r="O26" s="6"/>
      <c r="P26" s="6"/>
      <c r="Q26" s="6"/>
    </row>
    <row r="27" spans="1:17" x14ac:dyDescent="0.35">
      <c r="A27" s="36">
        <v>19</v>
      </c>
      <c r="B27" s="5" t="s">
        <v>207</v>
      </c>
      <c r="C27" s="6"/>
      <c r="D27" s="6"/>
      <c r="E27" s="6"/>
      <c r="F27" s="6"/>
      <c r="G27" s="6"/>
      <c r="H27" s="6"/>
      <c r="I27" s="17"/>
      <c r="J27" s="6"/>
      <c r="K27" s="6"/>
      <c r="L27" s="6"/>
      <c r="M27" s="6"/>
      <c r="N27" s="6"/>
      <c r="O27" s="6"/>
      <c r="P27" s="6"/>
      <c r="Q27" s="6"/>
    </row>
    <row r="28" spans="1:17" x14ac:dyDescent="0.35">
      <c r="A28" s="36">
        <v>18</v>
      </c>
      <c r="B28" s="5" t="s">
        <v>209</v>
      </c>
      <c r="C28" s="6"/>
      <c r="D28" s="6"/>
      <c r="E28" s="6"/>
      <c r="F28" s="6"/>
      <c r="G28" s="6"/>
      <c r="H28" s="6"/>
      <c r="I28" s="6"/>
      <c r="J28" s="17"/>
      <c r="K28" s="6"/>
      <c r="L28" s="6"/>
      <c r="M28" s="6"/>
      <c r="N28" s="6"/>
      <c r="O28" s="6"/>
      <c r="P28" s="6"/>
      <c r="Q28" s="6"/>
    </row>
    <row r="29" spans="1:17" x14ac:dyDescent="0.35">
      <c r="A29" s="36"/>
      <c r="B29" s="5" t="s">
        <v>211</v>
      </c>
      <c r="C29" s="6"/>
      <c r="D29" s="6"/>
      <c r="E29" s="6"/>
      <c r="F29" s="6"/>
      <c r="G29" s="6"/>
      <c r="H29" s="6"/>
      <c r="I29" s="6"/>
      <c r="J29" s="6"/>
      <c r="K29" s="17"/>
      <c r="L29" s="6"/>
      <c r="M29" s="6"/>
      <c r="N29" s="6"/>
      <c r="O29" s="6"/>
      <c r="P29" s="6"/>
      <c r="Q29" s="6"/>
    </row>
    <row r="30" spans="1:17" x14ac:dyDescent="0.35">
      <c r="A30" s="36">
        <v>19</v>
      </c>
      <c r="B30" s="5" t="s">
        <v>186</v>
      </c>
      <c r="C30" s="6"/>
      <c r="D30" s="6"/>
      <c r="E30" s="6"/>
      <c r="F30" s="6"/>
      <c r="G30" s="6"/>
      <c r="H30" s="6"/>
      <c r="I30" s="6"/>
      <c r="J30" s="6"/>
      <c r="K30" s="6"/>
      <c r="L30" s="6"/>
      <c r="M30" s="6"/>
      <c r="N30" s="6"/>
      <c r="O30" s="6"/>
      <c r="P30" s="6"/>
      <c r="Q30" s="6"/>
    </row>
    <row r="31" spans="1:17" ht="17.25" customHeight="1" x14ac:dyDescent="0.35">
      <c r="A31" s="36">
        <v>20</v>
      </c>
      <c r="B31" s="5" t="s">
        <v>187</v>
      </c>
      <c r="C31" s="6"/>
      <c r="D31" s="6"/>
      <c r="E31" s="6"/>
      <c r="F31" s="6"/>
      <c r="G31" s="6"/>
      <c r="H31" s="6"/>
      <c r="I31" s="6"/>
      <c r="J31" s="6"/>
      <c r="K31" s="6"/>
      <c r="L31" s="6"/>
      <c r="M31" s="6"/>
      <c r="N31" s="6"/>
      <c r="O31" s="6"/>
      <c r="P31" s="6"/>
      <c r="Q31" s="6"/>
    </row>
    <row r="32" spans="1:17" x14ac:dyDescent="0.35">
      <c r="A32" s="36">
        <v>21</v>
      </c>
      <c r="B32" s="5" t="s">
        <v>189</v>
      </c>
      <c r="C32" s="6"/>
      <c r="D32" s="6"/>
      <c r="E32" s="6"/>
      <c r="F32" s="6"/>
      <c r="G32" s="6"/>
      <c r="H32" s="6"/>
      <c r="I32" s="6"/>
      <c r="J32" s="6"/>
      <c r="K32" s="6"/>
      <c r="L32" s="6"/>
      <c r="M32" s="6"/>
      <c r="N32" s="6"/>
      <c r="O32" s="6"/>
      <c r="P32" s="6"/>
      <c r="Q32" s="6"/>
    </row>
    <row r="33" spans="1:17" x14ac:dyDescent="0.35">
      <c r="A33" s="36">
        <v>22</v>
      </c>
      <c r="B33" s="5" t="s">
        <v>188</v>
      </c>
      <c r="C33" s="6"/>
      <c r="D33" s="6"/>
      <c r="E33" s="6"/>
      <c r="F33" s="6"/>
      <c r="G33" s="6"/>
      <c r="H33" s="6"/>
      <c r="I33" s="6"/>
      <c r="J33" s="6"/>
      <c r="K33" s="6"/>
      <c r="L33" s="6"/>
      <c r="M33" s="6"/>
      <c r="N33" s="6"/>
      <c r="O33" s="6"/>
      <c r="P33" s="6"/>
      <c r="Q33" s="6"/>
    </row>
    <row r="34" spans="1:17" x14ac:dyDescent="0.35">
      <c r="A34" s="36"/>
      <c r="B34" s="26" t="s">
        <v>212</v>
      </c>
      <c r="C34" s="6"/>
      <c r="D34" s="6"/>
      <c r="E34" s="6"/>
      <c r="F34" s="6"/>
      <c r="G34" s="6"/>
      <c r="H34" s="6"/>
      <c r="I34" s="6"/>
      <c r="J34" s="6"/>
      <c r="K34" s="6"/>
      <c r="L34" s="6"/>
      <c r="M34" s="6"/>
      <c r="N34" s="6"/>
      <c r="O34" s="6"/>
      <c r="P34" s="6"/>
      <c r="Q34" s="6"/>
    </row>
    <row r="35" spans="1:17" x14ac:dyDescent="0.35">
      <c r="A35" s="36">
        <v>23</v>
      </c>
      <c r="B35" s="11" t="s">
        <v>47</v>
      </c>
      <c r="C35" s="6"/>
      <c r="D35" s="6"/>
      <c r="E35" s="6"/>
      <c r="F35" s="6"/>
      <c r="G35" s="6"/>
      <c r="H35" s="6"/>
      <c r="I35" s="6"/>
      <c r="J35" s="6"/>
      <c r="K35" s="6"/>
      <c r="L35" s="6"/>
      <c r="M35" s="6"/>
      <c r="N35" s="6"/>
      <c r="O35" s="6"/>
      <c r="P35" s="6"/>
      <c r="Q35" s="6"/>
    </row>
    <row r="36" spans="1:17" x14ac:dyDescent="0.35">
      <c r="A36" s="36">
        <v>24</v>
      </c>
      <c r="B36" s="11" t="s">
        <v>48</v>
      </c>
      <c r="C36" s="6"/>
      <c r="D36" s="6"/>
      <c r="E36" s="6"/>
      <c r="F36" s="6"/>
      <c r="G36" s="6"/>
      <c r="H36" s="6"/>
      <c r="I36" s="6"/>
      <c r="J36" s="6"/>
      <c r="K36" s="6"/>
      <c r="L36" s="6"/>
      <c r="M36" s="6"/>
      <c r="N36" s="6"/>
      <c r="O36" s="6"/>
      <c r="P36" s="6"/>
      <c r="Q36" s="6"/>
    </row>
    <row r="37" spans="1:17" x14ac:dyDescent="0.35">
      <c r="A37" s="36">
        <v>25</v>
      </c>
      <c r="B37" s="11" t="s">
        <v>49</v>
      </c>
      <c r="C37" s="6"/>
      <c r="D37" s="6"/>
      <c r="E37" s="6"/>
      <c r="F37" s="6"/>
      <c r="G37" s="6"/>
      <c r="H37" s="6"/>
      <c r="I37" s="6"/>
      <c r="J37" s="6"/>
      <c r="K37" s="6"/>
      <c r="L37" s="6"/>
      <c r="M37" s="6"/>
      <c r="N37" s="6"/>
      <c r="O37" s="6"/>
      <c r="P37" s="6"/>
      <c r="Q37" s="6"/>
    </row>
    <row r="38" spans="1:17" x14ac:dyDescent="0.35">
      <c r="A38" s="36">
        <v>26</v>
      </c>
      <c r="B38" s="11" t="s">
        <v>55</v>
      </c>
      <c r="C38" s="6"/>
      <c r="D38" s="6"/>
      <c r="E38" s="6"/>
      <c r="F38" s="6"/>
      <c r="G38" s="6"/>
      <c r="H38" s="6"/>
      <c r="I38" s="6"/>
      <c r="J38" s="6"/>
      <c r="K38" s="6"/>
      <c r="L38" s="6"/>
      <c r="M38" s="6"/>
      <c r="N38" s="6"/>
      <c r="O38" s="6"/>
      <c r="P38" s="6"/>
      <c r="Q38" s="6"/>
    </row>
    <row r="39" spans="1:17" x14ac:dyDescent="0.35">
      <c r="A39" s="36">
        <v>27</v>
      </c>
      <c r="B39" s="11" t="s">
        <v>50</v>
      </c>
      <c r="C39" s="6"/>
      <c r="D39" s="6"/>
      <c r="E39" s="6"/>
      <c r="F39" s="6"/>
      <c r="G39" s="6"/>
      <c r="H39" s="6"/>
      <c r="I39" s="6"/>
      <c r="J39" s="6"/>
      <c r="K39" s="6"/>
      <c r="L39" s="6"/>
      <c r="M39" s="6"/>
      <c r="N39" s="6"/>
      <c r="O39" s="6"/>
      <c r="P39" s="6"/>
      <c r="Q39" s="6"/>
    </row>
    <row r="40" spans="1:17" x14ac:dyDescent="0.35">
      <c r="A40" s="36">
        <v>28</v>
      </c>
      <c r="B40" s="11" t="s">
        <v>19</v>
      </c>
      <c r="C40" s="6"/>
      <c r="D40" s="6"/>
      <c r="E40" s="6"/>
      <c r="F40" s="6"/>
      <c r="G40" s="6"/>
      <c r="H40" s="6"/>
      <c r="I40" s="6"/>
      <c r="J40" s="6"/>
      <c r="K40" s="6"/>
      <c r="L40" s="6"/>
      <c r="M40" s="17"/>
      <c r="N40" s="17"/>
      <c r="O40" s="6"/>
      <c r="P40" s="6"/>
      <c r="Q40" s="6"/>
    </row>
    <row r="41" spans="1:17" x14ac:dyDescent="0.35">
      <c r="A41" s="36">
        <v>29</v>
      </c>
      <c r="B41" s="11" t="s">
        <v>53</v>
      </c>
      <c r="C41" s="6"/>
      <c r="D41" s="6"/>
      <c r="E41" s="6"/>
      <c r="F41" s="6"/>
      <c r="G41" s="6"/>
      <c r="H41" s="6"/>
      <c r="I41" s="6"/>
      <c r="J41" s="6"/>
      <c r="K41" s="6"/>
      <c r="L41" s="6"/>
      <c r="M41" s="17"/>
      <c r="N41" s="17"/>
      <c r="O41" s="6"/>
      <c r="P41" s="6"/>
      <c r="Q41" s="6"/>
    </row>
    <row r="42" spans="1:17" x14ac:dyDescent="0.35">
      <c r="A42" s="36"/>
      <c r="B42" s="26" t="s">
        <v>86</v>
      </c>
      <c r="C42" s="6"/>
      <c r="D42" s="6"/>
      <c r="E42" s="6"/>
      <c r="F42" s="6"/>
      <c r="G42" s="6"/>
      <c r="H42" s="6"/>
      <c r="I42" s="6"/>
      <c r="J42" s="6"/>
      <c r="K42" s="6"/>
      <c r="L42" s="6"/>
      <c r="M42" s="8"/>
      <c r="N42" s="8"/>
      <c r="O42" s="8"/>
      <c r="P42" s="8"/>
      <c r="Q42" s="8"/>
    </row>
    <row r="43" spans="1:17" x14ac:dyDescent="0.35">
      <c r="A43" s="36">
        <v>30</v>
      </c>
      <c r="B43" s="11" t="s">
        <v>54</v>
      </c>
      <c r="C43" s="6"/>
      <c r="D43" s="6"/>
      <c r="E43" s="6"/>
      <c r="F43" s="6"/>
      <c r="G43" s="6"/>
      <c r="H43" s="6"/>
      <c r="I43" s="6"/>
      <c r="J43" s="6"/>
      <c r="K43" s="6"/>
      <c r="L43" s="6"/>
      <c r="M43" s="17"/>
      <c r="N43" s="17"/>
      <c r="O43" s="17"/>
      <c r="P43" s="17"/>
      <c r="Q43" s="17"/>
    </row>
  </sheetData>
  <mergeCells count="5">
    <mergeCell ref="A3:A4"/>
    <mergeCell ref="B3:B4"/>
    <mergeCell ref="O2:Q2"/>
    <mergeCell ref="O3:Q3"/>
    <mergeCell ref="C2:N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9"/>
  <sheetViews>
    <sheetView zoomScale="40" zoomScaleNormal="40" workbookViewId="0">
      <selection activeCell="G6" sqref="G6"/>
    </sheetView>
  </sheetViews>
  <sheetFormatPr defaultColWidth="21" defaultRowHeight="14.5" x14ac:dyDescent="0.35"/>
  <cols>
    <col min="1" max="1" width="6" style="44" bestFit="1" customWidth="1"/>
    <col min="2" max="2" width="18.1796875" style="42" bestFit="1" customWidth="1"/>
    <col min="3" max="3" width="8.453125" style="42" customWidth="1"/>
    <col min="4" max="4" width="35.453125" style="43" customWidth="1"/>
    <col min="5" max="5" width="13.7265625" style="37" customWidth="1"/>
    <col min="6" max="6" width="55.7265625" style="42" customWidth="1"/>
    <col min="7" max="7" width="55.7265625" style="37" customWidth="1"/>
    <col min="8" max="16384" width="21" style="37"/>
  </cols>
  <sheetData>
    <row r="1" spans="1:6" ht="18.5" x14ac:dyDescent="0.35">
      <c r="A1" s="119" t="s">
        <v>70</v>
      </c>
      <c r="B1" s="119"/>
      <c r="C1" s="119"/>
      <c r="D1" s="119"/>
      <c r="E1" s="119"/>
      <c r="F1" s="119"/>
    </row>
    <row r="2" spans="1:6" x14ac:dyDescent="0.35">
      <c r="A2" s="120"/>
      <c r="B2" s="120"/>
      <c r="C2" s="120"/>
      <c r="D2" s="120"/>
      <c r="E2" s="120"/>
      <c r="F2" s="121"/>
    </row>
    <row r="3" spans="1:6" ht="29" x14ac:dyDescent="0.35">
      <c r="A3" s="45" t="s">
        <v>71</v>
      </c>
      <c r="B3" s="38" t="s">
        <v>72</v>
      </c>
      <c r="C3" s="38" t="s">
        <v>73</v>
      </c>
      <c r="D3" s="38" t="s">
        <v>74</v>
      </c>
      <c r="E3" s="39" t="s">
        <v>75</v>
      </c>
      <c r="F3" s="38" t="s">
        <v>76</v>
      </c>
    </row>
    <row r="4" spans="1:6" ht="232" x14ac:dyDescent="0.35">
      <c r="A4" s="46">
        <v>1</v>
      </c>
      <c r="B4" s="5" t="s">
        <v>67</v>
      </c>
      <c r="C4" s="40" t="s">
        <v>59</v>
      </c>
      <c r="D4" s="5" t="s">
        <v>171</v>
      </c>
      <c r="E4" s="88" t="s">
        <v>38</v>
      </c>
      <c r="F4" s="88" t="s">
        <v>77</v>
      </c>
    </row>
    <row r="5" spans="1:6" ht="261" x14ac:dyDescent="0.35">
      <c r="A5" s="46">
        <v>2</v>
      </c>
      <c r="B5" s="5" t="s">
        <v>90</v>
      </c>
      <c r="C5" s="5" t="s">
        <v>59</v>
      </c>
      <c r="D5" s="5" t="s">
        <v>148</v>
      </c>
      <c r="E5" s="88" t="s">
        <v>172</v>
      </c>
      <c r="F5" s="5" t="s">
        <v>147</v>
      </c>
    </row>
    <row r="6" spans="1:6" ht="304.5" x14ac:dyDescent="0.35">
      <c r="A6" s="46">
        <v>3</v>
      </c>
      <c r="B6" s="5" t="s">
        <v>40</v>
      </c>
      <c r="C6" s="5" t="s">
        <v>59</v>
      </c>
      <c r="D6" s="41" t="s">
        <v>78</v>
      </c>
      <c r="E6" s="88" t="s">
        <v>161</v>
      </c>
      <c r="F6" s="5" t="s">
        <v>79</v>
      </c>
    </row>
    <row r="7" spans="1:6" ht="275.5" x14ac:dyDescent="0.35">
      <c r="A7" s="46">
        <v>4</v>
      </c>
      <c r="B7" s="5" t="s">
        <v>81</v>
      </c>
      <c r="C7" s="40"/>
      <c r="D7" s="41" t="s">
        <v>103</v>
      </c>
      <c r="E7" s="88" t="s">
        <v>141</v>
      </c>
      <c r="F7" s="5" t="s">
        <v>104</v>
      </c>
    </row>
    <row r="8" spans="1:6" ht="275.5" x14ac:dyDescent="0.35">
      <c r="A8" s="46">
        <v>5</v>
      </c>
      <c r="B8" s="5" t="s">
        <v>93</v>
      </c>
      <c r="C8" s="5" t="s">
        <v>59</v>
      </c>
      <c r="D8" s="41" t="s">
        <v>103</v>
      </c>
      <c r="E8" s="88" t="s">
        <v>142</v>
      </c>
      <c r="F8" s="5" t="s">
        <v>104</v>
      </c>
    </row>
    <row r="9" spans="1:6" ht="174" x14ac:dyDescent="0.35">
      <c r="A9" s="46">
        <v>6</v>
      </c>
      <c r="B9" s="5" t="s">
        <v>94</v>
      </c>
      <c r="C9" s="40" t="s">
        <v>59</v>
      </c>
      <c r="D9" s="5" t="s">
        <v>80</v>
      </c>
      <c r="E9" s="88" t="s">
        <v>142</v>
      </c>
      <c r="F9" s="5" t="s">
        <v>106</v>
      </c>
    </row>
    <row r="10" spans="1:6" ht="246.5" x14ac:dyDescent="0.35">
      <c r="A10" s="46">
        <v>7</v>
      </c>
      <c r="B10" s="5" t="s">
        <v>134</v>
      </c>
      <c r="C10" s="5" t="s">
        <v>59</v>
      </c>
      <c r="D10" s="5" t="s">
        <v>153</v>
      </c>
      <c r="E10" s="88" t="s">
        <v>162</v>
      </c>
      <c r="F10" s="5" t="s">
        <v>152</v>
      </c>
    </row>
    <row r="11" spans="1:6" ht="246.5" x14ac:dyDescent="0.35">
      <c r="A11" s="46">
        <v>8</v>
      </c>
      <c r="B11" s="5" t="s">
        <v>96</v>
      </c>
      <c r="C11" s="40" t="s">
        <v>59</v>
      </c>
      <c r="D11" s="5" t="s">
        <v>153</v>
      </c>
      <c r="E11" s="88" t="s">
        <v>163</v>
      </c>
      <c r="F11" s="5" t="s">
        <v>152</v>
      </c>
    </row>
    <row r="12" spans="1:6" ht="217.5" x14ac:dyDescent="0.35">
      <c r="A12" s="46">
        <v>9</v>
      </c>
      <c r="B12" s="5" t="s">
        <v>97</v>
      </c>
      <c r="C12" s="5" t="s">
        <v>59</v>
      </c>
      <c r="D12" s="5" t="s">
        <v>153</v>
      </c>
      <c r="E12" s="88" t="s">
        <v>163</v>
      </c>
      <c r="F12" s="5" t="s">
        <v>105</v>
      </c>
    </row>
    <row r="13" spans="1:6" ht="145" x14ac:dyDescent="0.35">
      <c r="A13" s="46">
        <v>10</v>
      </c>
      <c r="B13" s="5" t="s">
        <v>146</v>
      </c>
      <c r="C13" s="40" t="s">
        <v>59</v>
      </c>
      <c r="D13" s="5" t="s">
        <v>174</v>
      </c>
      <c r="E13" s="74" t="s">
        <v>173</v>
      </c>
      <c r="F13" s="5" t="s">
        <v>175</v>
      </c>
    </row>
    <row r="14" spans="1:6" ht="183" customHeight="1" x14ac:dyDescent="0.35">
      <c r="A14" s="46">
        <v>11</v>
      </c>
      <c r="B14" s="5" t="s">
        <v>98</v>
      </c>
      <c r="C14" s="5" t="s">
        <v>59</v>
      </c>
      <c r="D14" s="5" t="s">
        <v>177</v>
      </c>
      <c r="E14" s="88" t="s">
        <v>165</v>
      </c>
      <c r="F14" s="5" t="s">
        <v>176</v>
      </c>
    </row>
    <row r="15" spans="1:6" ht="186" customHeight="1" x14ac:dyDescent="0.35">
      <c r="A15" s="46">
        <v>12</v>
      </c>
      <c r="B15" s="5" t="s">
        <v>145</v>
      </c>
      <c r="C15" s="40" t="s">
        <v>59</v>
      </c>
      <c r="D15" s="5" t="s">
        <v>178</v>
      </c>
      <c r="E15" s="88" t="s">
        <v>180</v>
      </c>
      <c r="F15" s="5" t="s">
        <v>179</v>
      </c>
    </row>
    <row r="16" spans="1:6" ht="186" customHeight="1" x14ac:dyDescent="0.35">
      <c r="A16" s="46">
        <v>13</v>
      </c>
      <c r="B16" s="5" t="s">
        <v>129</v>
      </c>
      <c r="C16" s="5" t="s">
        <v>59</v>
      </c>
      <c r="D16" s="5" t="s">
        <v>149</v>
      </c>
      <c r="E16" s="88" t="s">
        <v>166</v>
      </c>
      <c r="F16" s="5" t="s">
        <v>105</v>
      </c>
    </row>
    <row r="17" spans="1:6" ht="186" customHeight="1" x14ac:dyDescent="0.35">
      <c r="A17" s="46">
        <v>14</v>
      </c>
      <c r="B17" s="5" t="s">
        <v>128</v>
      </c>
      <c r="C17" s="5" t="s">
        <v>59</v>
      </c>
      <c r="D17" s="5" t="s">
        <v>151</v>
      </c>
      <c r="E17" s="88" t="s">
        <v>181</v>
      </c>
      <c r="F17" s="5" t="s">
        <v>150</v>
      </c>
    </row>
    <row r="18" spans="1:6" ht="186" customHeight="1" x14ac:dyDescent="0.35">
      <c r="A18" s="46">
        <v>15</v>
      </c>
      <c r="B18" s="5" t="s">
        <v>82</v>
      </c>
      <c r="C18" s="5" t="s">
        <v>59</v>
      </c>
      <c r="D18" s="5" t="s">
        <v>151</v>
      </c>
      <c r="E18" s="88" t="s">
        <v>181</v>
      </c>
      <c r="F18" s="5" t="s">
        <v>150</v>
      </c>
    </row>
    <row r="19" spans="1:6" ht="186" customHeight="1" x14ac:dyDescent="0.35">
      <c r="A19" s="46">
        <v>16</v>
      </c>
      <c r="B19" s="5" t="s">
        <v>39</v>
      </c>
      <c r="C19" s="5" t="s">
        <v>59</v>
      </c>
      <c r="D19" s="41" t="s">
        <v>182</v>
      </c>
      <c r="E19" s="88" t="s">
        <v>169</v>
      </c>
      <c r="F19" s="5" t="s">
        <v>183</v>
      </c>
    </row>
  </sheetData>
  <mergeCells count="2">
    <mergeCell ref="A1:F1"/>
    <mergeCell ref="A2:F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AA36"/>
  <sheetViews>
    <sheetView zoomScaleNormal="100" workbookViewId="0">
      <pane ySplit="3" topLeftCell="A4" activePane="bottomLeft" state="frozen"/>
      <selection pane="bottomLeft" activeCell="G32" sqref="G32"/>
    </sheetView>
  </sheetViews>
  <sheetFormatPr defaultRowHeight="14.5" x14ac:dyDescent="0.35"/>
  <cols>
    <col min="2" max="2" width="4.1796875" style="4" bestFit="1" customWidth="1"/>
    <col min="3" max="3" width="24.54296875" customWidth="1"/>
    <col min="4" max="12" width="4.1796875" style="35" customWidth="1"/>
    <col min="13" max="13" width="4.1796875" style="86" customWidth="1"/>
    <col min="14" max="15" width="4.90625" style="86" customWidth="1"/>
    <col min="16" max="16" width="7.6328125" style="86" customWidth="1"/>
    <col min="17" max="17" width="7.54296875" style="86" customWidth="1"/>
    <col min="18" max="18" width="7.26953125" style="86" customWidth="1"/>
    <col min="19" max="19" width="6.54296875" bestFit="1" customWidth="1"/>
    <col min="20" max="20" width="5.81640625" customWidth="1"/>
    <col min="21" max="21" width="8.7265625" style="4" bestFit="1" customWidth="1"/>
    <col min="22" max="22" width="12.54296875" bestFit="1" customWidth="1"/>
    <col min="23" max="23" width="18.1796875" style="2" customWidth="1"/>
    <col min="25" max="25" width="23.453125" bestFit="1" customWidth="1"/>
  </cols>
  <sheetData>
    <row r="2" spans="2:27" ht="42.5" customHeight="1" x14ac:dyDescent="0.35">
      <c r="B2" s="117" t="s">
        <v>28</v>
      </c>
      <c r="C2" s="117" t="s">
        <v>2</v>
      </c>
      <c r="D2" s="114" t="s">
        <v>155</v>
      </c>
      <c r="E2" s="114"/>
      <c r="F2" s="114"/>
      <c r="G2" s="114"/>
      <c r="H2" s="114"/>
      <c r="I2" s="114"/>
      <c r="J2" s="114"/>
      <c r="K2" s="114"/>
      <c r="L2" s="114"/>
      <c r="M2" s="114"/>
      <c r="N2" s="114"/>
      <c r="O2" s="114"/>
      <c r="P2" s="113" t="s">
        <v>156</v>
      </c>
      <c r="Q2" s="113"/>
      <c r="R2" s="113"/>
      <c r="S2" s="117" t="s">
        <v>25</v>
      </c>
      <c r="T2" s="117"/>
      <c r="U2" s="117"/>
    </row>
    <row r="3" spans="2:27" ht="23" customHeight="1" x14ac:dyDescent="0.35">
      <c r="B3" s="117"/>
      <c r="C3" s="117"/>
      <c r="D3" s="94">
        <v>1</v>
      </c>
      <c r="E3" s="94">
        <v>2</v>
      </c>
      <c r="F3" s="94">
        <v>3</v>
      </c>
      <c r="G3" s="94">
        <v>4</v>
      </c>
      <c r="H3" s="94">
        <v>5</v>
      </c>
      <c r="I3" s="94">
        <v>6</v>
      </c>
      <c r="J3" s="94">
        <v>7</v>
      </c>
      <c r="K3" s="94">
        <v>8</v>
      </c>
      <c r="L3" s="94">
        <v>9</v>
      </c>
      <c r="M3" s="94">
        <v>10</v>
      </c>
      <c r="N3" s="94">
        <v>11</v>
      </c>
      <c r="O3" s="94">
        <v>12</v>
      </c>
      <c r="P3" s="94">
        <v>13</v>
      </c>
      <c r="Q3" s="94">
        <v>14</v>
      </c>
      <c r="R3" s="94">
        <v>15</v>
      </c>
      <c r="S3" s="95" t="s">
        <v>26</v>
      </c>
      <c r="T3" s="95" t="s">
        <v>27</v>
      </c>
      <c r="U3" s="95" t="s">
        <v>0</v>
      </c>
    </row>
    <row r="4" spans="2:27" x14ac:dyDescent="0.35">
      <c r="B4" s="112">
        <v>1</v>
      </c>
      <c r="C4" s="118" t="s">
        <v>89</v>
      </c>
      <c r="D4" s="53"/>
      <c r="E4" s="53"/>
      <c r="F4" s="53"/>
      <c r="G4" s="53"/>
      <c r="H4" s="53"/>
      <c r="I4" s="53"/>
      <c r="J4" s="53"/>
      <c r="K4" s="53"/>
      <c r="L4" s="53"/>
      <c r="M4" s="53"/>
      <c r="N4" s="53"/>
      <c r="O4" s="53"/>
      <c r="P4" s="85"/>
      <c r="Q4" s="85"/>
      <c r="R4" s="85"/>
      <c r="S4" s="6"/>
      <c r="T4" s="6"/>
      <c r="U4" s="12">
        <v>12</v>
      </c>
      <c r="V4">
        <v>350000</v>
      </c>
      <c r="W4" s="2">
        <f>V4*U4</f>
        <v>4200000</v>
      </c>
      <c r="X4" s="48">
        <v>6</v>
      </c>
      <c r="Y4" s="50"/>
      <c r="Z4">
        <v>1</v>
      </c>
      <c r="AA4" s="50" t="s">
        <v>38</v>
      </c>
    </row>
    <row r="5" spans="2:27" x14ac:dyDescent="0.35">
      <c r="B5" s="112"/>
      <c r="C5" s="118"/>
      <c r="D5" s="53"/>
      <c r="E5" s="53"/>
      <c r="F5" s="53"/>
      <c r="G5" s="53"/>
      <c r="H5" s="53"/>
      <c r="I5" s="53"/>
      <c r="J5" s="53"/>
      <c r="K5" s="53"/>
      <c r="L5" s="53"/>
      <c r="M5" s="53"/>
      <c r="N5" s="53"/>
      <c r="O5" s="53"/>
      <c r="P5" s="85"/>
      <c r="Q5" s="85"/>
      <c r="R5" s="85"/>
      <c r="S5" s="6"/>
      <c r="T5" s="6"/>
      <c r="U5" s="12"/>
      <c r="W5" s="2">
        <f t="shared" ref="W5:W22" si="0">V5*U5</f>
        <v>0</v>
      </c>
      <c r="X5" s="48">
        <v>4</v>
      </c>
      <c r="Y5" s="50" t="s">
        <v>99</v>
      </c>
      <c r="Z5">
        <v>2</v>
      </c>
      <c r="AA5" s="50" t="s">
        <v>84</v>
      </c>
    </row>
    <row r="6" spans="2:27" x14ac:dyDescent="0.35">
      <c r="B6" s="112">
        <v>2</v>
      </c>
      <c r="C6" s="118" t="s">
        <v>90</v>
      </c>
      <c r="D6" s="54"/>
      <c r="E6" s="54"/>
      <c r="F6" s="54"/>
      <c r="G6" s="54"/>
      <c r="H6" s="54"/>
      <c r="I6" s="54"/>
      <c r="J6" s="85"/>
      <c r="K6" s="85"/>
      <c r="L6" s="85"/>
      <c r="M6" s="85"/>
      <c r="N6" s="85"/>
      <c r="O6" s="85"/>
      <c r="P6" s="85"/>
      <c r="Q6" s="85"/>
      <c r="R6" s="85"/>
      <c r="S6" s="18"/>
      <c r="T6" s="18"/>
      <c r="U6" s="12">
        <v>6</v>
      </c>
      <c r="V6">
        <v>300000</v>
      </c>
      <c r="W6" s="2">
        <f t="shared" si="0"/>
        <v>1800000</v>
      </c>
      <c r="X6" s="48">
        <v>4</v>
      </c>
      <c r="Y6" s="50" t="s">
        <v>100</v>
      </c>
      <c r="Z6">
        <v>3</v>
      </c>
      <c r="AA6" s="50" t="s">
        <v>117</v>
      </c>
    </row>
    <row r="7" spans="2:27" x14ac:dyDescent="0.35">
      <c r="B7" s="112"/>
      <c r="C7" s="118"/>
      <c r="D7" s="54"/>
      <c r="E7" s="54"/>
      <c r="F7" s="54"/>
      <c r="G7" s="54"/>
      <c r="H7" s="54"/>
      <c r="I7" s="54"/>
      <c r="J7" s="85"/>
      <c r="K7" s="85"/>
      <c r="L7" s="85"/>
      <c r="M7" s="85"/>
      <c r="N7" s="85"/>
      <c r="O7" s="85"/>
      <c r="P7" s="85"/>
      <c r="Q7" s="85"/>
      <c r="R7" s="85"/>
      <c r="S7" s="18"/>
      <c r="T7" s="18"/>
      <c r="U7" s="12"/>
      <c r="W7" s="2">
        <f t="shared" si="0"/>
        <v>0</v>
      </c>
      <c r="X7" s="48">
        <v>6</v>
      </c>
      <c r="Y7" s="50" t="s">
        <v>40</v>
      </c>
      <c r="Z7">
        <v>4</v>
      </c>
      <c r="AA7" s="50" t="s">
        <v>118</v>
      </c>
    </row>
    <row r="8" spans="2:27" x14ac:dyDescent="0.35">
      <c r="B8" s="112">
        <v>3</v>
      </c>
      <c r="C8" s="118" t="s">
        <v>40</v>
      </c>
      <c r="D8" s="55"/>
      <c r="E8" s="55"/>
      <c r="F8" s="55"/>
      <c r="G8" s="55"/>
      <c r="H8" s="55"/>
      <c r="I8" s="55"/>
      <c r="J8" s="85"/>
      <c r="K8" s="85"/>
      <c r="L8" s="85"/>
      <c r="M8" s="85"/>
      <c r="N8" s="85"/>
      <c r="O8" s="85"/>
      <c r="P8" s="85"/>
      <c r="Q8" s="85"/>
      <c r="R8" s="85"/>
      <c r="S8" s="18"/>
      <c r="T8" s="18"/>
      <c r="U8" s="12">
        <v>6</v>
      </c>
      <c r="V8">
        <v>300000</v>
      </c>
      <c r="W8" s="2">
        <f t="shared" si="0"/>
        <v>1800000</v>
      </c>
      <c r="X8" s="48">
        <v>6</v>
      </c>
      <c r="Y8" s="50" t="s">
        <v>89</v>
      </c>
      <c r="Z8">
        <v>5</v>
      </c>
      <c r="AA8" s="50" t="s">
        <v>119</v>
      </c>
    </row>
    <row r="9" spans="2:27" x14ac:dyDescent="0.35">
      <c r="B9" s="112"/>
      <c r="C9" s="118"/>
      <c r="D9" s="55"/>
      <c r="E9" s="55"/>
      <c r="F9" s="55"/>
      <c r="G9" s="55"/>
      <c r="H9" s="55"/>
      <c r="I9" s="55"/>
      <c r="J9" s="85"/>
      <c r="K9" s="85"/>
      <c r="L9" s="85"/>
      <c r="M9" s="85"/>
      <c r="N9" s="85"/>
      <c r="O9" s="85"/>
      <c r="P9" s="85"/>
      <c r="Q9" s="85"/>
      <c r="R9" s="89"/>
      <c r="S9" s="18"/>
      <c r="T9" s="18"/>
      <c r="U9" s="12"/>
      <c r="W9" s="2">
        <f t="shared" si="0"/>
        <v>0</v>
      </c>
      <c r="X9" s="48">
        <v>6</v>
      </c>
      <c r="Y9" s="50" t="s">
        <v>39</v>
      </c>
      <c r="Z9">
        <v>6</v>
      </c>
      <c r="AA9" s="50" t="s">
        <v>119</v>
      </c>
    </row>
    <row r="10" spans="2:27" x14ac:dyDescent="0.35">
      <c r="B10" s="112">
        <v>4</v>
      </c>
      <c r="C10" s="115" t="s">
        <v>81</v>
      </c>
      <c r="D10" s="56"/>
      <c r="E10" s="56"/>
      <c r="F10" s="56"/>
      <c r="G10" s="56"/>
      <c r="H10" s="56"/>
      <c r="I10" s="56"/>
      <c r="J10" s="56"/>
      <c r="K10" s="56"/>
      <c r="L10" s="56"/>
      <c r="M10" s="56"/>
      <c r="N10" s="56"/>
      <c r="O10" s="56"/>
      <c r="P10" s="85"/>
      <c r="Q10" s="85"/>
      <c r="R10" s="85"/>
      <c r="S10" s="18"/>
      <c r="T10" s="18"/>
      <c r="U10" s="12">
        <v>12</v>
      </c>
      <c r="V10">
        <v>300000</v>
      </c>
      <c r="W10" s="2">
        <f t="shared" si="0"/>
        <v>3600000</v>
      </c>
      <c r="X10" s="48">
        <v>6</v>
      </c>
      <c r="Y10" s="50" t="s">
        <v>81</v>
      </c>
      <c r="Z10">
        <v>7</v>
      </c>
      <c r="AA10" s="50" t="s">
        <v>119</v>
      </c>
    </row>
    <row r="11" spans="2:27" x14ac:dyDescent="0.35">
      <c r="B11" s="112"/>
      <c r="C11" s="115"/>
      <c r="D11" s="56"/>
      <c r="E11" s="56"/>
      <c r="F11" s="56"/>
      <c r="G11" s="56"/>
      <c r="H11" s="56"/>
      <c r="I11" s="56"/>
      <c r="J11" s="56"/>
      <c r="K11" s="56"/>
      <c r="L11" s="56"/>
      <c r="M11" s="56"/>
      <c r="N11" s="56"/>
      <c r="O11" s="56"/>
      <c r="P11" s="85"/>
      <c r="Q11" s="85"/>
      <c r="R11" s="85"/>
      <c r="S11" s="18"/>
      <c r="T11" s="18"/>
      <c r="U11" s="12"/>
      <c r="W11" s="2">
        <f t="shared" si="0"/>
        <v>0</v>
      </c>
      <c r="X11" s="48">
        <v>6</v>
      </c>
      <c r="Y11" s="50" t="s">
        <v>90</v>
      </c>
      <c r="Z11">
        <v>8</v>
      </c>
      <c r="AA11" s="50" t="s">
        <v>120</v>
      </c>
    </row>
    <row r="12" spans="2:27" ht="14.5" customHeight="1" x14ac:dyDescent="0.35">
      <c r="B12" s="112">
        <v>5</v>
      </c>
      <c r="C12" s="116" t="s">
        <v>93</v>
      </c>
      <c r="D12" s="57"/>
      <c r="E12" s="57"/>
      <c r="F12" s="57"/>
      <c r="G12" s="57"/>
      <c r="H12" s="85"/>
      <c r="I12" s="85"/>
      <c r="J12" s="85"/>
      <c r="K12" s="85"/>
      <c r="L12" s="85"/>
      <c r="M12" s="85"/>
      <c r="N12" s="85"/>
      <c r="O12" s="85"/>
      <c r="P12" s="85"/>
      <c r="Q12" s="85"/>
      <c r="R12" s="85"/>
      <c r="S12" s="18"/>
      <c r="T12" s="18"/>
      <c r="U12" s="12">
        <v>4</v>
      </c>
      <c r="V12">
        <v>250000</v>
      </c>
      <c r="W12" s="2">
        <f t="shared" si="0"/>
        <v>1000000</v>
      </c>
      <c r="X12" s="48">
        <v>6</v>
      </c>
      <c r="Y12" s="50" t="s">
        <v>91</v>
      </c>
      <c r="Z12">
        <v>9</v>
      </c>
      <c r="AA12" s="50" t="s">
        <v>120</v>
      </c>
    </row>
    <row r="13" spans="2:27" x14ac:dyDescent="0.35">
      <c r="B13" s="112"/>
      <c r="C13" s="116"/>
      <c r="D13" s="57"/>
      <c r="E13" s="57"/>
      <c r="F13" s="57"/>
      <c r="G13" s="57"/>
      <c r="H13" s="85"/>
      <c r="I13" s="85"/>
      <c r="J13" s="85"/>
      <c r="K13" s="85"/>
      <c r="L13" s="85"/>
      <c r="M13" s="85"/>
      <c r="N13" s="85"/>
      <c r="O13" s="85"/>
      <c r="P13" s="85"/>
      <c r="Q13" s="85"/>
      <c r="R13" s="85"/>
      <c r="S13" s="18"/>
      <c r="T13" s="18"/>
      <c r="U13" s="12"/>
      <c r="W13" s="2">
        <f t="shared" si="0"/>
        <v>0</v>
      </c>
      <c r="X13" s="48">
        <v>1</v>
      </c>
      <c r="Y13" s="50" t="s">
        <v>92</v>
      </c>
      <c r="Z13">
        <v>10</v>
      </c>
      <c r="AA13" s="50" t="s">
        <v>120</v>
      </c>
    </row>
    <row r="14" spans="2:27" x14ac:dyDescent="0.35">
      <c r="B14" s="112">
        <v>6</v>
      </c>
      <c r="C14" s="115" t="s">
        <v>94</v>
      </c>
      <c r="D14" s="58"/>
      <c r="E14" s="58"/>
      <c r="F14" s="58"/>
      <c r="G14" s="58"/>
      <c r="H14" s="85"/>
      <c r="I14" s="85"/>
      <c r="J14" s="85"/>
      <c r="K14" s="85"/>
      <c r="L14" s="85"/>
      <c r="M14" s="85"/>
      <c r="N14" s="85"/>
      <c r="O14" s="85"/>
      <c r="P14" s="85"/>
      <c r="Q14" s="85"/>
      <c r="R14" s="85"/>
      <c r="S14" s="18"/>
      <c r="T14" s="18"/>
      <c r="U14" s="12">
        <v>4</v>
      </c>
      <c r="V14">
        <v>250000</v>
      </c>
      <c r="W14" s="2">
        <f t="shared" si="0"/>
        <v>1000000</v>
      </c>
      <c r="X14" s="48">
        <v>3</v>
      </c>
      <c r="Y14" s="50" t="s">
        <v>93</v>
      </c>
      <c r="Z14">
        <v>11</v>
      </c>
      <c r="AA14" s="50" t="s">
        <v>120</v>
      </c>
    </row>
    <row r="15" spans="2:27" x14ac:dyDescent="0.35">
      <c r="B15" s="112"/>
      <c r="C15" s="115"/>
      <c r="D15" s="58"/>
      <c r="E15" s="58"/>
      <c r="F15" s="58"/>
      <c r="G15" s="58"/>
      <c r="H15" s="85"/>
      <c r="I15" s="85"/>
      <c r="J15" s="85"/>
      <c r="K15" s="85"/>
      <c r="L15" s="85"/>
      <c r="M15" s="85"/>
      <c r="N15" s="85"/>
      <c r="O15" s="85"/>
      <c r="P15" s="85"/>
      <c r="Q15" s="85"/>
      <c r="R15" s="85"/>
      <c r="S15" s="18"/>
      <c r="T15" s="18"/>
      <c r="U15" s="12"/>
      <c r="W15" s="2">
        <f t="shared" si="0"/>
        <v>0</v>
      </c>
      <c r="X15" s="48">
        <v>6</v>
      </c>
      <c r="Y15" s="50" t="s">
        <v>66</v>
      </c>
      <c r="Z15">
        <v>12</v>
      </c>
      <c r="AA15" s="50" t="s">
        <v>120</v>
      </c>
    </row>
    <row r="16" spans="2:27" x14ac:dyDescent="0.35">
      <c r="B16" s="112">
        <v>7</v>
      </c>
      <c r="C16" s="115" t="s">
        <v>134</v>
      </c>
      <c r="D16" s="59"/>
      <c r="E16" s="59"/>
      <c r="F16" s="59"/>
      <c r="G16" s="59"/>
      <c r="H16" s="85"/>
      <c r="I16" s="85"/>
      <c r="J16" s="85"/>
      <c r="K16" s="85"/>
      <c r="L16" s="85"/>
      <c r="M16" s="85"/>
      <c r="N16" s="85"/>
      <c r="O16" s="85"/>
      <c r="P16" s="85"/>
      <c r="Q16" s="85"/>
      <c r="R16" s="85"/>
      <c r="S16" s="18"/>
      <c r="T16" s="18"/>
      <c r="U16" s="12">
        <v>4</v>
      </c>
      <c r="V16">
        <v>250000</v>
      </c>
      <c r="W16" s="2">
        <f t="shared" si="0"/>
        <v>1000000</v>
      </c>
      <c r="X16" s="48">
        <v>6</v>
      </c>
      <c r="Y16" s="50" t="s">
        <v>94</v>
      </c>
      <c r="Z16">
        <v>13</v>
      </c>
      <c r="AA16" s="50" t="s">
        <v>121</v>
      </c>
    </row>
    <row r="17" spans="2:27" x14ac:dyDescent="0.35">
      <c r="B17" s="112"/>
      <c r="C17" s="115"/>
      <c r="D17" s="59"/>
      <c r="E17" s="59"/>
      <c r="F17" s="59"/>
      <c r="G17" s="59"/>
      <c r="H17" s="85"/>
      <c r="I17" s="85"/>
      <c r="J17" s="85"/>
      <c r="K17" s="85"/>
      <c r="L17" s="85"/>
      <c r="M17" s="85"/>
      <c r="N17" s="85"/>
      <c r="O17" s="85"/>
      <c r="P17" s="85"/>
      <c r="Q17" s="85"/>
      <c r="R17" s="85"/>
      <c r="S17" s="18"/>
      <c r="T17" s="18"/>
      <c r="U17" s="12"/>
      <c r="W17" s="2">
        <f t="shared" si="0"/>
        <v>0</v>
      </c>
      <c r="X17" s="48">
        <v>6</v>
      </c>
      <c r="Y17" s="50" t="s">
        <v>95</v>
      </c>
      <c r="Z17">
        <v>14</v>
      </c>
      <c r="AA17" s="50" t="s">
        <v>122</v>
      </c>
    </row>
    <row r="18" spans="2:27" x14ac:dyDescent="0.35">
      <c r="B18" s="112">
        <v>8</v>
      </c>
      <c r="C18" s="115" t="s">
        <v>170</v>
      </c>
      <c r="D18" s="72"/>
      <c r="E18" s="60"/>
      <c r="F18" s="60"/>
      <c r="G18" s="60"/>
      <c r="H18" s="85"/>
      <c r="I18" s="85"/>
      <c r="J18" s="85"/>
      <c r="K18" s="85"/>
      <c r="L18" s="85"/>
      <c r="M18" s="85"/>
      <c r="N18" s="85"/>
      <c r="O18" s="85"/>
      <c r="P18" s="85"/>
      <c r="Q18" s="85"/>
      <c r="R18" s="85"/>
      <c r="S18" s="18"/>
      <c r="T18" s="18"/>
      <c r="U18" s="12">
        <v>3</v>
      </c>
      <c r="V18">
        <v>200000</v>
      </c>
      <c r="W18" s="2">
        <f t="shared" si="0"/>
        <v>600000</v>
      </c>
      <c r="X18" s="48">
        <v>6</v>
      </c>
      <c r="Y18" s="50" t="s">
        <v>96</v>
      </c>
      <c r="Z18">
        <v>15</v>
      </c>
      <c r="AA18" s="50" t="s">
        <v>122</v>
      </c>
    </row>
    <row r="19" spans="2:27" x14ac:dyDescent="0.35">
      <c r="B19" s="112"/>
      <c r="C19" s="115"/>
      <c r="D19" s="72"/>
      <c r="E19" s="60"/>
      <c r="F19" s="60"/>
      <c r="G19" s="60"/>
      <c r="H19" s="85"/>
      <c r="I19" s="85"/>
      <c r="J19" s="85"/>
      <c r="K19" s="85"/>
      <c r="L19" s="85"/>
      <c r="M19" s="85"/>
      <c r="N19" s="85"/>
      <c r="O19" s="85"/>
      <c r="P19" s="85"/>
      <c r="Q19" s="85"/>
      <c r="R19" s="85"/>
      <c r="S19" s="18"/>
      <c r="T19" s="18"/>
      <c r="U19" s="12"/>
      <c r="W19" s="2">
        <f t="shared" si="0"/>
        <v>0</v>
      </c>
      <c r="X19" s="48">
        <v>3</v>
      </c>
      <c r="Y19" s="50" t="s">
        <v>97</v>
      </c>
      <c r="Z19">
        <v>16</v>
      </c>
      <c r="AA19" s="50" t="s">
        <v>122</v>
      </c>
    </row>
    <row r="20" spans="2:27" x14ac:dyDescent="0.35">
      <c r="B20" s="112">
        <v>9</v>
      </c>
      <c r="C20" s="115" t="s">
        <v>97</v>
      </c>
      <c r="D20" s="72"/>
      <c r="E20" s="61"/>
      <c r="F20" s="61"/>
      <c r="G20" s="61"/>
      <c r="H20" s="85"/>
      <c r="I20" s="85"/>
      <c r="J20" s="85"/>
      <c r="K20" s="85"/>
      <c r="L20" s="85"/>
      <c r="M20" s="85"/>
      <c r="N20" s="85"/>
      <c r="O20" s="85"/>
      <c r="P20" s="85"/>
      <c r="Q20" s="85"/>
      <c r="R20" s="85"/>
      <c r="S20" s="18"/>
      <c r="T20" s="18"/>
      <c r="U20" s="12">
        <v>3</v>
      </c>
      <c r="V20">
        <v>200000</v>
      </c>
      <c r="W20" s="2">
        <f t="shared" si="0"/>
        <v>600000</v>
      </c>
      <c r="X20" s="48">
        <v>2</v>
      </c>
      <c r="Y20" s="50" t="s">
        <v>98</v>
      </c>
      <c r="Z20">
        <v>17</v>
      </c>
      <c r="AA20" s="50" t="s">
        <v>122</v>
      </c>
    </row>
    <row r="21" spans="2:27" x14ac:dyDescent="0.35">
      <c r="B21" s="112"/>
      <c r="C21" s="115"/>
      <c r="D21" s="72"/>
      <c r="E21" s="61"/>
      <c r="F21" s="61"/>
      <c r="G21" s="61"/>
      <c r="H21" s="85"/>
      <c r="I21" s="85"/>
      <c r="J21" s="85"/>
      <c r="K21" s="85"/>
      <c r="L21" s="85"/>
      <c r="M21" s="85"/>
      <c r="N21" s="85"/>
      <c r="O21" s="85"/>
      <c r="P21" s="85"/>
      <c r="Q21" s="85"/>
      <c r="R21" s="85"/>
      <c r="S21" s="18"/>
      <c r="T21" s="18"/>
      <c r="U21" s="12"/>
      <c r="W21" s="2">
        <f t="shared" si="0"/>
        <v>0</v>
      </c>
      <c r="X21" s="48">
        <v>12</v>
      </c>
      <c r="Y21" s="50" t="s">
        <v>82</v>
      </c>
      <c r="Z21">
        <v>18</v>
      </c>
      <c r="AA21" s="50" t="s">
        <v>123</v>
      </c>
    </row>
    <row r="22" spans="2:27" x14ac:dyDescent="0.35">
      <c r="B22" s="112">
        <v>10</v>
      </c>
      <c r="C22" s="115" t="s">
        <v>101</v>
      </c>
      <c r="D22" s="62"/>
      <c r="E22" s="62"/>
      <c r="F22" s="62"/>
      <c r="G22" s="85"/>
      <c r="H22" s="85"/>
      <c r="I22" s="85"/>
      <c r="J22" s="85"/>
      <c r="K22" s="85"/>
      <c r="L22" s="85"/>
      <c r="M22" s="85"/>
      <c r="N22" s="85"/>
      <c r="O22" s="85"/>
      <c r="P22" s="85"/>
      <c r="Q22" s="85"/>
      <c r="R22" s="85"/>
      <c r="S22" s="18"/>
      <c r="T22" s="18"/>
      <c r="U22" s="12">
        <v>3</v>
      </c>
      <c r="V22">
        <v>200000</v>
      </c>
      <c r="W22" s="2">
        <f t="shared" si="0"/>
        <v>600000</v>
      </c>
      <c r="Z22">
        <v>19</v>
      </c>
      <c r="AA22" s="50" t="s">
        <v>123</v>
      </c>
    </row>
    <row r="23" spans="2:27" x14ac:dyDescent="0.35">
      <c r="B23" s="112"/>
      <c r="C23" s="115"/>
      <c r="D23" s="62"/>
      <c r="E23" s="62"/>
      <c r="F23" s="62"/>
      <c r="G23" s="85"/>
      <c r="H23" s="85"/>
      <c r="I23" s="85"/>
      <c r="J23" s="85"/>
      <c r="K23" s="85"/>
      <c r="L23" s="85"/>
      <c r="M23" s="85"/>
      <c r="N23" s="85"/>
      <c r="O23" s="85"/>
      <c r="P23" s="85"/>
      <c r="Q23" s="85"/>
      <c r="R23" s="85"/>
      <c r="S23" s="18"/>
      <c r="T23" s="18"/>
      <c r="U23" s="12"/>
      <c r="W23" s="2">
        <f t="shared" ref="W23:W35" si="1">V23*U23</f>
        <v>0</v>
      </c>
      <c r="Z23">
        <v>20</v>
      </c>
      <c r="AA23" s="50" t="s">
        <v>123</v>
      </c>
    </row>
    <row r="24" spans="2:27" x14ac:dyDescent="0.35">
      <c r="B24" s="112">
        <v>11</v>
      </c>
      <c r="C24" s="115" t="s">
        <v>98</v>
      </c>
      <c r="D24" s="63"/>
      <c r="E24" s="63"/>
      <c r="F24" s="63"/>
      <c r="G24" s="85"/>
      <c r="H24" s="85"/>
      <c r="I24" s="85"/>
      <c r="J24" s="85"/>
      <c r="K24" s="85"/>
      <c r="L24" s="85"/>
      <c r="M24" s="85"/>
      <c r="N24" s="85"/>
      <c r="O24" s="85"/>
      <c r="P24" s="85"/>
      <c r="Q24" s="85"/>
      <c r="R24" s="85"/>
      <c r="S24" s="18"/>
      <c r="T24" s="18"/>
      <c r="U24" s="12">
        <v>3</v>
      </c>
      <c r="V24">
        <v>200000</v>
      </c>
      <c r="W24" s="2">
        <f t="shared" si="1"/>
        <v>600000</v>
      </c>
      <c r="Z24">
        <v>21</v>
      </c>
      <c r="AA24" s="50" t="s">
        <v>124</v>
      </c>
    </row>
    <row r="25" spans="2:27" x14ac:dyDescent="0.35">
      <c r="B25" s="112"/>
      <c r="C25" s="115"/>
      <c r="D25" s="63"/>
      <c r="E25" s="63"/>
      <c r="F25" s="63"/>
      <c r="G25" s="85"/>
      <c r="H25" s="85"/>
      <c r="I25" s="85"/>
      <c r="J25" s="85"/>
      <c r="K25" s="85"/>
      <c r="L25" s="85"/>
      <c r="M25" s="85"/>
      <c r="N25" s="85"/>
      <c r="O25" s="85"/>
      <c r="P25" s="85"/>
      <c r="Q25" s="85"/>
      <c r="R25" s="85"/>
      <c r="S25" s="18"/>
      <c r="T25" s="18"/>
      <c r="U25" s="12"/>
      <c r="W25" s="2">
        <f t="shared" si="1"/>
        <v>0</v>
      </c>
      <c r="Z25">
        <v>22</v>
      </c>
      <c r="AA25" s="50" t="s">
        <v>124</v>
      </c>
    </row>
    <row r="26" spans="2:27" x14ac:dyDescent="0.35">
      <c r="B26" s="112">
        <v>12</v>
      </c>
      <c r="C26" s="115" t="s">
        <v>145</v>
      </c>
      <c r="D26" s="64"/>
      <c r="E26" s="64"/>
      <c r="F26" s="64"/>
      <c r="G26" s="64"/>
      <c r="H26" s="85"/>
      <c r="I26" s="85"/>
      <c r="J26" s="85"/>
      <c r="K26" s="85"/>
      <c r="L26" s="85"/>
      <c r="M26" s="85"/>
      <c r="N26" s="85"/>
      <c r="O26" s="85"/>
      <c r="P26" s="85"/>
      <c r="Q26" s="85"/>
      <c r="R26" s="85"/>
      <c r="S26" s="18"/>
      <c r="T26" s="18"/>
      <c r="U26" s="12">
        <v>4</v>
      </c>
      <c r="V26">
        <v>200000</v>
      </c>
      <c r="W26" s="2">
        <f t="shared" si="1"/>
        <v>800000</v>
      </c>
      <c r="Z26">
        <v>23</v>
      </c>
      <c r="AA26" s="50" t="s">
        <v>124</v>
      </c>
    </row>
    <row r="27" spans="2:27" x14ac:dyDescent="0.35">
      <c r="B27" s="112"/>
      <c r="C27" s="115"/>
      <c r="D27" s="64"/>
      <c r="E27" s="64"/>
      <c r="F27" s="64"/>
      <c r="G27" s="64"/>
      <c r="H27" s="85"/>
      <c r="I27" s="85"/>
      <c r="J27" s="85"/>
      <c r="K27" s="85"/>
      <c r="L27" s="85"/>
      <c r="M27" s="85"/>
      <c r="N27" s="85"/>
      <c r="O27" s="85"/>
      <c r="P27" s="85"/>
      <c r="Q27" s="85"/>
      <c r="R27" s="85"/>
      <c r="S27" s="18"/>
      <c r="T27" s="18"/>
      <c r="U27" s="12"/>
      <c r="W27" s="2">
        <f t="shared" si="1"/>
        <v>0</v>
      </c>
      <c r="Z27">
        <v>24</v>
      </c>
      <c r="AA27" s="50" t="s">
        <v>124</v>
      </c>
    </row>
    <row r="28" spans="2:27" x14ac:dyDescent="0.35">
      <c r="B28" s="112">
        <v>13</v>
      </c>
      <c r="C28" s="115" t="s">
        <v>129</v>
      </c>
      <c r="D28" s="72"/>
      <c r="E28" s="62"/>
      <c r="F28" s="62"/>
      <c r="G28" s="62"/>
      <c r="H28" s="85"/>
      <c r="I28" s="85"/>
      <c r="J28" s="85"/>
      <c r="K28" s="85"/>
      <c r="L28" s="85"/>
      <c r="M28" s="85"/>
      <c r="N28" s="85"/>
      <c r="O28" s="85"/>
      <c r="P28" s="85"/>
      <c r="Q28" s="85"/>
      <c r="R28" s="85"/>
      <c r="S28" s="18"/>
      <c r="T28" s="18"/>
      <c r="U28" s="12">
        <v>3</v>
      </c>
      <c r="V28">
        <v>200000</v>
      </c>
      <c r="W28" s="2">
        <f t="shared" si="1"/>
        <v>600000</v>
      </c>
      <c r="Z28">
        <v>25</v>
      </c>
      <c r="AA28" s="50" t="s">
        <v>125</v>
      </c>
    </row>
    <row r="29" spans="2:27" x14ac:dyDescent="0.35">
      <c r="B29" s="112"/>
      <c r="C29" s="115"/>
      <c r="D29" s="72"/>
      <c r="E29" s="62"/>
      <c r="F29" s="62"/>
      <c r="G29" s="62"/>
      <c r="H29" s="85"/>
      <c r="I29" s="85"/>
      <c r="J29" s="85"/>
      <c r="K29" s="85"/>
      <c r="L29" s="85"/>
      <c r="M29" s="85"/>
      <c r="N29" s="85"/>
      <c r="O29" s="85"/>
      <c r="P29" s="85"/>
      <c r="Q29" s="85"/>
      <c r="R29" s="85"/>
      <c r="S29" s="18"/>
      <c r="T29" s="18"/>
      <c r="U29" s="12"/>
      <c r="W29" s="2">
        <f t="shared" si="1"/>
        <v>0</v>
      </c>
      <c r="Z29">
        <v>26</v>
      </c>
      <c r="AA29" s="50" t="s">
        <v>125</v>
      </c>
    </row>
    <row r="30" spans="2:27" x14ac:dyDescent="0.35">
      <c r="B30" s="112">
        <v>14</v>
      </c>
      <c r="C30" s="115" t="s">
        <v>128</v>
      </c>
      <c r="D30" s="72"/>
      <c r="E30" s="72"/>
      <c r="F30" s="72"/>
      <c r="G30" s="72"/>
      <c r="H30" s="85"/>
      <c r="I30" s="85"/>
      <c r="J30" s="85"/>
      <c r="K30" s="85"/>
      <c r="L30" s="85"/>
      <c r="M30" s="65"/>
      <c r="N30" s="65"/>
      <c r="O30" s="65"/>
      <c r="P30" s="65"/>
      <c r="Q30" s="65"/>
      <c r="R30" s="65"/>
      <c r="S30" s="18"/>
      <c r="T30" s="18"/>
      <c r="U30" s="12">
        <v>6</v>
      </c>
      <c r="V30">
        <v>150000</v>
      </c>
      <c r="W30" s="2">
        <f t="shared" si="1"/>
        <v>900000</v>
      </c>
      <c r="Z30">
        <v>27</v>
      </c>
      <c r="AA30" s="50" t="s">
        <v>126</v>
      </c>
    </row>
    <row r="31" spans="2:27" x14ac:dyDescent="0.35">
      <c r="B31" s="112"/>
      <c r="C31" s="115"/>
      <c r="D31" s="72"/>
      <c r="E31" s="72"/>
      <c r="F31" s="72"/>
      <c r="G31" s="72"/>
      <c r="H31" s="85"/>
      <c r="I31" s="85"/>
      <c r="J31" s="85"/>
      <c r="K31" s="85"/>
      <c r="L31" s="85"/>
      <c r="M31" s="65"/>
      <c r="N31" s="65"/>
      <c r="O31" s="65"/>
      <c r="P31" s="65"/>
      <c r="Q31" s="65"/>
      <c r="R31" s="65"/>
      <c r="S31" s="18"/>
      <c r="T31" s="18"/>
      <c r="U31" s="12"/>
      <c r="W31" s="2">
        <f t="shared" si="1"/>
        <v>0</v>
      </c>
      <c r="Z31">
        <v>28</v>
      </c>
      <c r="AA31" s="50" t="s">
        <v>126</v>
      </c>
    </row>
    <row r="32" spans="2:27" x14ac:dyDescent="0.35">
      <c r="B32" s="112">
        <v>15</v>
      </c>
      <c r="C32" s="115" t="s">
        <v>82</v>
      </c>
      <c r="D32" s="72"/>
      <c r="E32" s="72"/>
      <c r="F32" s="72"/>
      <c r="G32" s="72"/>
      <c r="H32" s="72"/>
      <c r="I32" s="72"/>
      <c r="J32" s="72"/>
      <c r="K32" s="72"/>
      <c r="L32" s="72"/>
      <c r="M32" s="72"/>
      <c r="N32" s="85"/>
      <c r="O32" s="85"/>
      <c r="P32" s="66"/>
      <c r="Q32" s="66"/>
      <c r="R32" s="66"/>
      <c r="S32" s="18"/>
      <c r="T32" s="18"/>
      <c r="U32" s="12">
        <v>3</v>
      </c>
      <c r="V32">
        <v>150000</v>
      </c>
      <c r="W32" s="2">
        <f t="shared" si="1"/>
        <v>450000</v>
      </c>
      <c r="Z32">
        <v>29</v>
      </c>
    </row>
    <row r="33" spans="2:26" x14ac:dyDescent="0.35">
      <c r="B33" s="112"/>
      <c r="C33" s="115"/>
      <c r="D33" s="72"/>
      <c r="E33" s="72"/>
      <c r="F33" s="72"/>
      <c r="G33" s="72"/>
      <c r="H33" s="72"/>
      <c r="I33" s="72"/>
      <c r="J33" s="72"/>
      <c r="K33" s="72"/>
      <c r="L33" s="72"/>
      <c r="M33" s="72"/>
      <c r="N33" s="85"/>
      <c r="O33" s="85"/>
      <c r="P33" s="66"/>
      <c r="Q33" s="66"/>
      <c r="R33" s="66"/>
      <c r="S33" s="18"/>
      <c r="T33" s="18"/>
      <c r="U33" s="12"/>
      <c r="W33" s="2">
        <f t="shared" si="1"/>
        <v>0</v>
      </c>
      <c r="Z33">
        <v>30</v>
      </c>
    </row>
    <row r="34" spans="2:26" x14ac:dyDescent="0.35">
      <c r="B34" s="112">
        <v>16</v>
      </c>
      <c r="C34" s="115" t="s">
        <v>39</v>
      </c>
      <c r="D34" s="34"/>
      <c r="E34" s="72"/>
      <c r="F34" s="72"/>
      <c r="G34" s="73"/>
      <c r="H34" s="73"/>
      <c r="I34" s="73"/>
      <c r="J34" s="73"/>
      <c r="K34" s="73"/>
      <c r="L34" s="73"/>
      <c r="M34" s="73"/>
      <c r="N34" s="73"/>
      <c r="O34" s="73"/>
      <c r="P34" s="85"/>
      <c r="Q34" s="85"/>
      <c r="R34" s="85"/>
      <c r="S34" s="18"/>
      <c r="T34" s="18"/>
      <c r="U34" s="12">
        <v>9</v>
      </c>
      <c r="V34">
        <v>150000</v>
      </c>
      <c r="W34" s="2">
        <f t="shared" si="1"/>
        <v>1350000</v>
      </c>
      <c r="Z34">
        <v>31</v>
      </c>
    </row>
    <row r="35" spans="2:26" x14ac:dyDescent="0.35">
      <c r="B35" s="112"/>
      <c r="C35" s="115"/>
      <c r="D35" s="34"/>
      <c r="E35" s="72"/>
      <c r="F35" s="72"/>
      <c r="G35" s="73"/>
      <c r="H35" s="73"/>
      <c r="I35" s="73"/>
      <c r="J35" s="73"/>
      <c r="K35" s="73"/>
      <c r="L35" s="73"/>
      <c r="M35" s="73"/>
      <c r="N35" s="73"/>
      <c r="O35" s="73"/>
      <c r="P35" s="85"/>
      <c r="Q35" s="85"/>
      <c r="R35" s="85"/>
      <c r="S35" s="18"/>
      <c r="T35" s="18"/>
      <c r="U35" s="12"/>
      <c r="W35" s="2">
        <f t="shared" si="1"/>
        <v>0</v>
      </c>
      <c r="Z35">
        <v>32</v>
      </c>
    </row>
    <row r="36" spans="2:26" x14ac:dyDescent="0.35">
      <c r="B36" s="20"/>
      <c r="C36" s="105" t="s">
        <v>0</v>
      </c>
      <c r="D36" s="105"/>
      <c r="E36" s="105"/>
      <c r="F36" s="105"/>
      <c r="G36" s="105"/>
      <c r="H36" s="105"/>
      <c r="I36" s="105"/>
      <c r="J36" s="105"/>
      <c r="K36" s="105"/>
      <c r="L36" s="105"/>
      <c r="M36" s="97"/>
      <c r="N36" s="97"/>
      <c r="O36" s="97"/>
      <c r="P36" s="97"/>
      <c r="Q36" s="97"/>
      <c r="R36" s="97"/>
      <c r="S36" s="6"/>
      <c r="T36" s="6"/>
      <c r="U36" s="47">
        <f>SUM(U4:U35)</f>
        <v>85</v>
      </c>
      <c r="V36" s="19"/>
      <c r="W36" s="19">
        <f>SUM(W4:W35)</f>
        <v>20900000</v>
      </c>
    </row>
  </sheetData>
  <mergeCells count="38">
    <mergeCell ref="B22:B23"/>
    <mergeCell ref="C36:L36"/>
    <mergeCell ref="S2:U2"/>
    <mergeCell ref="B4:B5"/>
    <mergeCell ref="B16:B17"/>
    <mergeCell ref="C16:C17"/>
    <mergeCell ref="B6:B7"/>
    <mergeCell ref="C4:C5"/>
    <mergeCell ref="C6:C7"/>
    <mergeCell ref="B2:B3"/>
    <mergeCell ref="C2:C3"/>
    <mergeCell ref="C20:C21"/>
    <mergeCell ref="C18:C19"/>
    <mergeCell ref="C8:C9"/>
    <mergeCell ref="B12:B13"/>
    <mergeCell ref="B14:B15"/>
    <mergeCell ref="C32:C33"/>
    <mergeCell ref="C34:C35"/>
    <mergeCell ref="B32:B33"/>
    <mergeCell ref="B34:B35"/>
    <mergeCell ref="B28:B29"/>
    <mergeCell ref="C28:C29"/>
    <mergeCell ref="B8:B9"/>
    <mergeCell ref="P2:R2"/>
    <mergeCell ref="D2:O2"/>
    <mergeCell ref="B30:B31"/>
    <mergeCell ref="C30:C31"/>
    <mergeCell ref="C26:C27"/>
    <mergeCell ref="B24:B25"/>
    <mergeCell ref="B26:B27"/>
    <mergeCell ref="C22:C23"/>
    <mergeCell ref="C10:C11"/>
    <mergeCell ref="C12:C13"/>
    <mergeCell ref="C14:C15"/>
    <mergeCell ref="B18:B19"/>
    <mergeCell ref="B20:B21"/>
    <mergeCell ref="B10:B11"/>
    <mergeCell ref="C24:C2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526"/>
  <sheetViews>
    <sheetView zoomScale="110" zoomScaleNormal="110" workbookViewId="0">
      <selection activeCell="B60" sqref="B60"/>
    </sheetView>
  </sheetViews>
  <sheetFormatPr defaultColWidth="9.1796875" defaultRowHeight="14.5" x14ac:dyDescent="0.35"/>
  <cols>
    <col min="1" max="1" width="7.453125" style="16" customWidth="1"/>
    <col min="2" max="2" width="37.1796875" bestFit="1" customWidth="1"/>
    <col min="3" max="3" width="57" style="13" bestFit="1" customWidth="1"/>
    <col min="4" max="4" width="14.54296875" style="4" bestFit="1" customWidth="1"/>
    <col min="5" max="5" width="18.26953125" style="14" bestFit="1" customWidth="1"/>
    <col min="6" max="6" width="14.26953125" bestFit="1" customWidth="1"/>
  </cols>
  <sheetData>
    <row r="1" spans="1:6" s="22" customFormat="1" x14ac:dyDescent="0.35">
      <c r="A1" s="21"/>
      <c r="D1" s="23"/>
      <c r="E1" s="24"/>
      <c r="F1" s="23"/>
    </row>
    <row r="2" spans="1:6" s="22" customFormat="1" x14ac:dyDescent="0.35">
      <c r="A2" s="125" t="s">
        <v>20</v>
      </c>
      <c r="B2" s="125"/>
      <c r="C2" s="125"/>
      <c r="D2" s="125"/>
      <c r="E2" s="125"/>
      <c r="F2" s="126"/>
    </row>
    <row r="3" spans="1:6" s="22" customFormat="1" x14ac:dyDescent="0.35">
      <c r="A3" s="21"/>
      <c r="D3" s="23"/>
      <c r="E3" s="24"/>
      <c r="F3" s="23"/>
    </row>
    <row r="4" spans="1:6" s="4" customFormat="1" ht="16.5" x14ac:dyDescent="0.35">
      <c r="A4" s="124" t="s">
        <v>21</v>
      </c>
      <c r="B4" s="131" t="s">
        <v>33</v>
      </c>
      <c r="C4" s="131" t="s">
        <v>34</v>
      </c>
      <c r="D4" s="132" t="s">
        <v>35</v>
      </c>
      <c r="E4" s="29" t="s">
        <v>36</v>
      </c>
      <c r="F4" s="132" t="s">
        <v>37</v>
      </c>
    </row>
    <row r="5" spans="1:6" s="4" customFormat="1" x14ac:dyDescent="0.35">
      <c r="A5" s="124"/>
      <c r="B5" s="131"/>
      <c r="C5" s="131"/>
      <c r="D5" s="132"/>
      <c r="E5" s="29" t="s">
        <v>22</v>
      </c>
      <c r="F5" s="132"/>
    </row>
    <row r="6" spans="1:6" x14ac:dyDescent="0.35">
      <c r="A6" s="15"/>
      <c r="B6" s="130" t="s">
        <v>23</v>
      </c>
      <c r="C6" s="130"/>
      <c r="D6" s="130"/>
      <c r="E6" s="130"/>
      <c r="F6" s="130"/>
    </row>
    <row r="7" spans="1:6" ht="16.5" customHeight="1" x14ac:dyDescent="0.35">
      <c r="A7" s="124">
        <v>1</v>
      </c>
      <c r="B7" s="100" t="s">
        <v>127</v>
      </c>
      <c r="C7" s="122" t="s">
        <v>38</v>
      </c>
      <c r="D7" s="36">
        <v>300000</v>
      </c>
      <c r="E7" s="12">
        <v>9</v>
      </c>
      <c r="F7" s="9">
        <f>D7*E7</f>
        <v>2700000</v>
      </c>
    </row>
    <row r="8" spans="1:6" ht="16.5" customHeight="1" x14ac:dyDescent="0.35">
      <c r="A8" s="124"/>
      <c r="B8" s="101"/>
      <c r="C8" s="123"/>
      <c r="D8" s="36"/>
      <c r="E8" s="12"/>
      <c r="F8" s="9">
        <f t="shared" ref="F8:F54" si="0">D8*E8</f>
        <v>0</v>
      </c>
    </row>
    <row r="9" spans="1:6" ht="16.5" customHeight="1" x14ac:dyDescent="0.35">
      <c r="A9" s="124">
        <v>2</v>
      </c>
      <c r="B9" s="100" t="s">
        <v>40</v>
      </c>
      <c r="C9" s="129" t="s">
        <v>84</v>
      </c>
      <c r="D9" s="36">
        <v>300000</v>
      </c>
      <c r="E9" s="12">
        <v>9</v>
      </c>
      <c r="F9" s="9">
        <f t="shared" si="0"/>
        <v>2700000</v>
      </c>
    </row>
    <row r="10" spans="1:6" ht="16.5" customHeight="1" x14ac:dyDescent="0.35">
      <c r="A10" s="124"/>
      <c r="B10" s="101"/>
      <c r="C10" s="129" t="s">
        <v>118</v>
      </c>
      <c r="D10" s="36"/>
      <c r="E10" s="12"/>
      <c r="F10" s="9">
        <f t="shared" si="0"/>
        <v>0</v>
      </c>
    </row>
    <row r="11" spans="1:6" ht="16.5" customHeight="1" x14ac:dyDescent="0.35">
      <c r="A11" s="124">
        <v>3</v>
      </c>
      <c r="B11" s="100" t="s">
        <v>89</v>
      </c>
      <c r="C11" s="122" t="s">
        <v>117</v>
      </c>
      <c r="D11" s="36">
        <v>350000</v>
      </c>
      <c r="E11" s="12">
        <v>9</v>
      </c>
      <c r="F11" s="9">
        <f t="shared" si="0"/>
        <v>3150000</v>
      </c>
    </row>
    <row r="12" spans="1:6" ht="16.5" customHeight="1" x14ac:dyDescent="0.35">
      <c r="A12" s="124"/>
      <c r="B12" s="101"/>
      <c r="C12" s="123"/>
      <c r="D12" s="36"/>
      <c r="E12" s="12"/>
      <c r="F12" s="9">
        <f t="shared" si="0"/>
        <v>0</v>
      </c>
    </row>
    <row r="13" spans="1:6" ht="16.5" customHeight="1" x14ac:dyDescent="0.35">
      <c r="A13" s="124">
        <v>4</v>
      </c>
      <c r="B13" s="100" t="s">
        <v>90</v>
      </c>
      <c r="C13" s="122" t="s">
        <v>118</v>
      </c>
      <c r="D13" s="36">
        <v>250000</v>
      </c>
      <c r="E13" s="12">
        <v>9</v>
      </c>
      <c r="F13" s="9">
        <f t="shared" si="0"/>
        <v>2250000</v>
      </c>
    </row>
    <row r="14" spans="1:6" ht="16.5" customHeight="1" x14ac:dyDescent="0.35">
      <c r="A14" s="124"/>
      <c r="B14" s="101"/>
      <c r="C14" s="123"/>
      <c r="D14" s="36"/>
      <c r="E14" s="12"/>
      <c r="F14" s="9">
        <f t="shared" si="0"/>
        <v>0</v>
      </c>
    </row>
    <row r="15" spans="1:6" ht="16.5" customHeight="1" x14ac:dyDescent="0.35">
      <c r="A15" s="124">
        <v>5</v>
      </c>
      <c r="B15" s="100" t="s">
        <v>131</v>
      </c>
      <c r="C15" s="122" t="s">
        <v>141</v>
      </c>
      <c r="D15" s="36">
        <v>250000</v>
      </c>
      <c r="E15" s="12">
        <v>9</v>
      </c>
      <c r="F15" s="9">
        <f t="shared" si="0"/>
        <v>2250000</v>
      </c>
    </row>
    <row r="16" spans="1:6" ht="16.5" customHeight="1" x14ac:dyDescent="0.35">
      <c r="A16" s="124"/>
      <c r="B16" s="101"/>
      <c r="C16" s="123"/>
      <c r="D16" s="36"/>
      <c r="E16" s="12"/>
      <c r="F16" s="9">
        <f t="shared" si="0"/>
        <v>0</v>
      </c>
    </row>
    <row r="17" spans="1:6" ht="16.5" customHeight="1" x14ac:dyDescent="0.35">
      <c r="A17" s="124">
        <v>6</v>
      </c>
      <c r="B17" s="100" t="s">
        <v>93</v>
      </c>
      <c r="C17" s="122" t="s">
        <v>141</v>
      </c>
      <c r="D17" s="36">
        <v>250000</v>
      </c>
      <c r="E17" s="12">
        <v>9</v>
      </c>
      <c r="F17" s="9">
        <f t="shared" si="0"/>
        <v>2250000</v>
      </c>
    </row>
    <row r="18" spans="1:6" ht="16.5" customHeight="1" x14ac:dyDescent="0.35">
      <c r="A18" s="124"/>
      <c r="B18" s="101"/>
      <c r="C18" s="123"/>
      <c r="D18" s="36"/>
      <c r="E18" s="12"/>
      <c r="F18" s="9">
        <f t="shared" si="0"/>
        <v>0</v>
      </c>
    </row>
    <row r="19" spans="1:6" ht="16.5" customHeight="1" x14ac:dyDescent="0.35">
      <c r="A19" s="124">
        <v>7</v>
      </c>
      <c r="B19" s="100" t="s">
        <v>81</v>
      </c>
      <c r="C19" s="122" t="s">
        <v>141</v>
      </c>
      <c r="D19" s="36">
        <v>250000</v>
      </c>
      <c r="E19" s="12">
        <v>5</v>
      </c>
      <c r="F19" s="9">
        <f t="shared" si="0"/>
        <v>1250000</v>
      </c>
    </row>
    <row r="20" spans="1:6" ht="16.5" customHeight="1" x14ac:dyDescent="0.35">
      <c r="A20" s="124"/>
      <c r="B20" s="101"/>
      <c r="C20" s="123"/>
      <c r="D20" s="36"/>
      <c r="E20" s="12"/>
      <c r="F20" s="9">
        <f t="shared" si="0"/>
        <v>0</v>
      </c>
    </row>
    <row r="21" spans="1:6" ht="16.5" customHeight="1" x14ac:dyDescent="0.35">
      <c r="A21" s="124">
        <v>8</v>
      </c>
      <c r="B21" s="100" t="s">
        <v>66</v>
      </c>
      <c r="C21" s="122" t="s">
        <v>142</v>
      </c>
      <c r="D21" s="36">
        <v>200000</v>
      </c>
      <c r="E21" s="12">
        <v>8</v>
      </c>
      <c r="F21" s="9">
        <f t="shared" si="0"/>
        <v>1600000</v>
      </c>
    </row>
    <row r="22" spans="1:6" ht="16.5" customHeight="1" x14ac:dyDescent="0.35">
      <c r="A22" s="124"/>
      <c r="B22" s="101"/>
      <c r="C22" s="123"/>
      <c r="D22" s="36"/>
      <c r="E22" s="12"/>
      <c r="F22" s="9">
        <f t="shared" si="0"/>
        <v>0</v>
      </c>
    </row>
    <row r="23" spans="1:6" ht="16.5" customHeight="1" x14ac:dyDescent="0.35">
      <c r="A23" s="124">
        <v>9</v>
      </c>
      <c r="B23" s="100" t="s">
        <v>94</v>
      </c>
      <c r="C23" s="122" t="s">
        <v>142</v>
      </c>
      <c r="D23" s="36">
        <v>200000</v>
      </c>
      <c r="E23" s="12">
        <v>8</v>
      </c>
      <c r="F23" s="9">
        <f t="shared" si="0"/>
        <v>1600000</v>
      </c>
    </row>
    <row r="24" spans="1:6" ht="16.5" customHeight="1" x14ac:dyDescent="0.35">
      <c r="A24" s="124"/>
      <c r="B24" s="101"/>
      <c r="C24" s="123"/>
      <c r="D24" s="36"/>
      <c r="E24" s="12"/>
      <c r="F24" s="9">
        <f t="shared" si="0"/>
        <v>0</v>
      </c>
    </row>
    <row r="25" spans="1:6" ht="16.5" customHeight="1" x14ac:dyDescent="0.35">
      <c r="A25" s="124">
        <v>10</v>
      </c>
      <c r="B25" s="100" t="s">
        <v>101</v>
      </c>
      <c r="C25" s="122" t="s">
        <v>142</v>
      </c>
      <c r="D25" s="36">
        <v>200000</v>
      </c>
      <c r="E25" s="12">
        <v>8</v>
      </c>
      <c r="F25" s="9">
        <f t="shared" si="0"/>
        <v>1600000</v>
      </c>
    </row>
    <row r="26" spans="1:6" ht="16.5" customHeight="1" x14ac:dyDescent="0.35">
      <c r="A26" s="124"/>
      <c r="B26" s="101"/>
      <c r="C26" s="123"/>
      <c r="D26" s="36"/>
      <c r="E26" s="12"/>
      <c r="F26" s="9">
        <f t="shared" si="0"/>
        <v>0</v>
      </c>
    </row>
    <row r="27" spans="1:6" ht="16.5" customHeight="1" x14ac:dyDescent="0.35">
      <c r="A27" s="124">
        <v>11</v>
      </c>
      <c r="B27" s="100" t="s">
        <v>96</v>
      </c>
      <c r="C27" s="122" t="s">
        <v>142</v>
      </c>
      <c r="D27" s="36">
        <v>200000</v>
      </c>
      <c r="E27" s="12">
        <v>8</v>
      </c>
      <c r="F27" s="9">
        <f t="shared" si="0"/>
        <v>1600000</v>
      </c>
    </row>
    <row r="28" spans="1:6" ht="16.5" customHeight="1" x14ac:dyDescent="0.35">
      <c r="A28" s="124"/>
      <c r="B28" s="101"/>
      <c r="C28" s="123"/>
      <c r="D28" s="36"/>
      <c r="E28" s="12"/>
      <c r="F28" s="9">
        <f t="shared" si="0"/>
        <v>0</v>
      </c>
    </row>
    <row r="29" spans="1:6" ht="16.5" customHeight="1" x14ac:dyDescent="0.35">
      <c r="A29" s="124">
        <v>12</v>
      </c>
      <c r="B29" s="100" t="s">
        <v>132</v>
      </c>
      <c r="C29" s="122" t="s">
        <v>142</v>
      </c>
      <c r="D29" s="36">
        <v>200000</v>
      </c>
      <c r="E29" s="12">
        <v>8</v>
      </c>
      <c r="F29" s="9">
        <f t="shared" si="0"/>
        <v>1600000</v>
      </c>
    </row>
    <row r="30" spans="1:6" ht="15.75" customHeight="1" x14ac:dyDescent="0.35">
      <c r="A30" s="124"/>
      <c r="B30" s="101"/>
      <c r="C30" s="123"/>
      <c r="D30" s="36"/>
      <c r="E30" s="12"/>
      <c r="F30" s="9">
        <f t="shared" si="0"/>
        <v>0</v>
      </c>
    </row>
    <row r="31" spans="1:6" ht="15.75" customHeight="1" x14ac:dyDescent="0.35">
      <c r="A31" s="124">
        <v>13</v>
      </c>
      <c r="B31" s="100" t="s">
        <v>39</v>
      </c>
      <c r="C31" s="122" t="s">
        <v>143</v>
      </c>
      <c r="D31" s="36">
        <v>150000</v>
      </c>
      <c r="E31" s="12">
        <v>8</v>
      </c>
      <c r="F31" s="9">
        <f t="shared" si="0"/>
        <v>1200000</v>
      </c>
    </row>
    <row r="32" spans="1:6" x14ac:dyDescent="0.35">
      <c r="A32" s="124"/>
      <c r="B32" s="101"/>
      <c r="C32" s="123"/>
      <c r="D32" s="36"/>
      <c r="E32" s="12"/>
      <c r="F32" s="9">
        <f t="shared" si="0"/>
        <v>0</v>
      </c>
    </row>
    <row r="33" spans="1:6" x14ac:dyDescent="0.35">
      <c r="A33" s="124">
        <v>14</v>
      </c>
      <c r="B33" s="100" t="s">
        <v>92</v>
      </c>
      <c r="C33" s="122" t="s">
        <v>144</v>
      </c>
      <c r="D33" s="36">
        <v>120000</v>
      </c>
      <c r="E33" s="12">
        <v>6</v>
      </c>
      <c r="F33" s="9">
        <f t="shared" si="0"/>
        <v>720000</v>
      </c>
    </row>
    <row r="34" spans="1:6" x14ac:dyDescent="0.35">
      <c r="A34" s="124"/>
      <c r="B34" s="101"/>
      <c r="C34" s="123"/>
      <c r="D34" s="36"/>
      <c r="E34" s="12"/>
      <c r="F34" s="9">
        <f t="shared" si="0"/>
        <v>0</v>
      </c>
    </row>
    <row r="35" spans="1:6" x14ac:dyDescent="0.35">
      <c r="A35" s="124">
        <v>15</v>
      </c>
      <c r="B35" s="100" t="s">
        <v>129</v>
      </c>
      <c r="C35" s="122" t="s">
        <v>144</v>
      </c>
      <c r="D35" s="36">
        <v>120000</v>
      </c>
      <c r="E35" s="12">
        <v>6</v>
      </c>
      <c r="F35" s="9">
        <f t="shared" si="0"/>
        <v>720000</v>
      </c>
    </row>
    <row r="36" spans="1:6" x14ac:dyDescent="0.35">
      <c r="A36" s="124"/>
      <c r="B36" s="101"/>
      <c r="C36" s="123"/>
      <c r="D36" s="36"/>
      <c r="E36" s="12"/>
      <c r="F36" s="9">
        <f t="shared" si="0"/>
        <v>0</v>
      </c>
    </row>
    <row r="37" spans="1:6" ht="16.5" customHeight="1" x14ac:dyDescent="0.35">
      <c r="A37" s="124">
        <v>16</v>
      </c>
      <c r="B37" s="100" t="s">
        <v>97</v>
      </c>
      <c r="C37" s="122" t="s">
        <v>144</v>
      </c>
      <c r="D37" s="36">
        <v>120000</v>
      </c>
      <c r="E37" s="12">
        <v>6</v>
      </c>
      <c r="F37" s="9">
        <f t="shared" si="0"/>
        <v>720000</v>
      </c>
    </row>
    <row r="38" spans="1:6" ht="15.75" customHeight="1" x14ac:dyDescent="0.35">
      <c r="A38" s="124"/>
      <c r="B38" s="101"/>
      <c r="C38" s="123"/>
      <c r="D38" s="36"/>
      <c r="E38" s="12"/>
      <c r="F38" s="9">
        <f t="shared" si="0"/>
        <v>0</v>
      </c>
    </row>
    <row r="39" spans="1:6" x14ac:dyDescent="0.35">
      <c r="A39" s="124">
        <v>17</v>
      </c>
      <c r="B39" s="100" t="s">
        <v>95</v>
      </c>
      <c r="C39" s="122" t="s">
        <v>144</v>
      </c>
      <c r="D39" s="36">
        <v>120000</v>
      </c>
      <c r="E39" s="12">
        <v>6</v>
      </c>
      <c r="F39" s="9">
        <f t="shared" si="0"/>
        <v>720000</v>
      </c>
    </row>
    <row r="40" spans="1:6" x14ac:dyDescent="0.35">
      <c r="A40" s="124"/>
      <c r="B40" s="101"/>
      <c r="C40" s="123"/>
      <c r="D40" s="36"/>
      <c r="E40" s="12"/>
      <c r="F40" s="9">
        <f t="shared" si="0"/>
        <v>0</v>
      </c>
    </row>
    <row r="41" spans="1:6" ht="15" customHeight="1" x14ac:dyDescent="0.35">
      <c r="A41" s="124">
        <v>18</v>
      </c>
      <c r="B41" s="100" t="s">
        <v>98</v>
      </c>
      <c r="C41" s="122" t="s">
        <v>123</v>
      </c>
      <c r="D41" s="36">
        <v>120000</v>
      </c>
      <c r="E41" s="12">
        <v>6</v>
      </c>
      <c r="F41" s="9">
        <f t="shared" si="0"/>
        <v>720000</v>
      </c>
    </row>
    <row r="42" spans="1:6" x14ac:dyDescent="0.35">
      <c r="A42" s="124"/>
      <c r="B42" s="101"/>
      <c r="C42" s="123"/>
      <c r="D42" s="36"/>
      <c r="E42" s="12"/>
      <c r="F42" s="9">
        <f>D42*E42</f>
        <v>0</v>
      </c>
    </row>
    <row r="43" spans="1:6" x14ac:dyDescent="0.35">
      <c r="A43" s="124">
        <v>19</v>
      </c>
      <c r="B43" s="100" t="s">
        <v>135</v>
      </c>
      <c r="C43" s="122" t="s">
        <v>123</v>
      </c>
      <c r="D43" s="36">
        <v>120000</v>
      </c>
      <c r="E43" s="12">
        <v>3</v>
      </c>
      <c r="F43" s="9">
        <f t="shared" si="0"/>
        <v>360000</v>
      </c>
    </row>
    <row r="44" spans="1:6" x14ac:dyDescent="0.35">
      <c r="A44" s="124"/>
      <c r="B44" s="101"/>
      <c r="C44" s="123"/>
      <c r="D44" s="36"/>
      <c r="E44" s="12"/>
      <c r="F44" s="9">
        <f t="shared" si="0"/>
        <v>0</v>
      </c>
    </row>
    <row r="45" spans="1:6" x14ac:dyDescent="0.35">
      <c r="A45" s="124">
        <v>20</v>
      </c>
      <c r="B45" s="100" t="s">
        <v>137</v>
      </c>
      <c r="C45" s="122" t="s">
        <v>123</v>
      </c>
      <c r="D45" s="36">
        <v>120000</v>
      </c>
      <c r="E45" s="12">
        <v>3</v>
      </c>
      <c r="F45" s="9">
        <f t="shared" si="0"/>
        <v>360000</v>
      </c>
    </row>
    <row r="46" spans="1:6" x14ac:dyDescent="0.35">
      <c r="A46" s="124"/>
      <c r="B46" s="101"/>
      <c r="C46" s="123"/>
      <c r="D46" s="36"/>
      <c r="E46" s="12"/>
      <c r="F46" s="9">
        <f t="shared" si="0"/>
        <v>0</v>
      </c>
    </row>
    <row r="47" spans="1:6" x14ac:dyDescent="0.35">
      <c r="A47" s="124">
        <v>21</v>
      </c>
      <c r="B47" s="100" t="s">
        <v>130</v>
      </c>
      <c r="C47" s="122" t="s">
        <v>125</v>
      </c>
      <c r="D47" s="36">
        <v>250000</v>
      </c>
      <c r="E47" s="12">
        <v>4</v>
      </c>
      <c r="F47" s="9">
        <f t="shared" si="0"/>
        <v>1000000</v>
      </c>
    </row>
    <row r="48" spans="1:6" x14ac:dyDescent="0.35">
      <c r="A48" s="124"/>
      <c r="B48" s="101"/>
      <c r="C48" s="123"/>
      <c r="D48" s="36"/>
      <c r="E48" s="12"/>
      <c r="F48" s="9">
        <f t="shared" si="0"/>
        <v>0</v>
      </c>
    </row>
    <row r="49" spans="1:6" x14ac:dyDescent="0.35">
      <c r="A49" s="124">
        <v>22</v>
      </c>
      <c r="B49" s="100" t="s">
        <v>134</v>
      </c>
      <c r="C49" s="122" t="s">
        <v>125</v>
      </c>
      <c r="D49" s="36">
        <v>250000</v>
      </c>
      <c r="E49" s="12">
        <v>4</v>
      </c>
      <c r="F49" s="9">
        <f t="shared" si="0"/>
        <v>1000000</v>
      </c>
    </row>
    <row r="50" spans="1:6" x14ac:dyDescent="0.35">
      <c r="A50" s="124"/>
      <c r="B50" s="101"/>
      <c r="C50" s="123"/>
      <c r="D50" s="36"/>
      <c r="E50" s="12"/>
      <c r="F50" s="9">
        <f t="shared" si="0"/>
        <v>0</v>
      </c>
    </row>
    <row r="51" spans="1:6" x14ac:dyDescent="0.35">
      <c r="A51" s="124">
        <v>23</v>
      </c>
      <c r="B51" s="100" t="s">
        <v>136</v>
      </c>
      <c r="C51" s="122" t="s">
        <v>126</v>
      </c>
      <c r="D51" s="36">
        <v>120000</v>
      </c>
      <c r="E51" s="12">
        <v>1</v>
      </c>
      <c r="F51" s="9">
        <f t="shared" si="0"/>
        <v>120000</v>
      </c>
    </row>
    <row r="52" spans="1:6" x14ac:dyDescent="0.35">
      <c r="A52" s="124"/>
      <c r="B52" s="101"/>
      <c r="C52" s="123"/>
      <c r="D52" s="36"/>
      <c r="E52" s="12"/>
      <c r="F52" s="9">
        <f t="shared" si="0"/>
        <v>0</v>
      </c>
    </row>
    <row r="53" spans="1:6" x14ac:dyDescent="0.35">
      <c r="A53" s="124">
        <v>24</v>
      </c>
      <c r="B53" s="100" t="s">
        <v>133</v>
      </c>
      <c r="C53" s="122" t="s">
        <v>126</v>
      </c>
      <c r="D53" s="36">
        <v>120000</v>
      </c>
      <c r="E53" s="12">
        <v>3</v>
      </c>
      <c r="F53" s="9">
        <f t="shared" si="0"/>
        <v>360000</v>
      </c>
    </row>
    <row r="54" spans="1:6" x14ac:dyDescent="0.35">
      <c r="A54" s="124"/>
      <c r="B54" s="101"/>
      <c r="C54" s="123"/>
      <c r="D54" s="36"/>
      <c r="E54" s="12"/>
      <c r="F54" s="9">
        <f t="shared" si="0"/>
        <v>0</v>
      </c>
    </row>
    <row r="55" spans="1:6" s="22" customFormat="1" x14ac:dyDescent="0.35">
      <c r="A55" s="127"/>
      <c r="B55" s="127"/>
      <c r="C55" s="127"/>
      <c r="D55" s="128"/>
      <c r="E55" s="30"/>
      <c r="F55" s="83">
        <f>SUM(F7:F54)</f>
        <v>32550000</v>
      </c>
    </row>
    <row r="56" spans="1:6" s="22" customFormat="1" x14ac:dyDescent="0.35">
      <c r="A56" s="21"/>
      <c r="C56" s="23"/>
      <c r="D56" s="24"/>
      <c r="E56" s="23"/>
    </row>
    <row r="57" spans="1:6" s="22" customFormat="1" x14ac:dyDescent="0.35">
      <c r="A57" s="21"/>
      <c r="C57" s="23"/>
      <c r="D57" s="24"/>
      <c r="E57" s="23"/>
    </row>
    <row r="58" spans="1:6" s="22" customFormat="1" x14ac:dyDescent="0.35">
      <c r="A58" s="21"/>
      <c r="C58" s="23"/>
      <c r="D58" s="24"/>
      <c r="E58" s="23"/>
    </row>
    <row r="59" spans="1:6" s="22" customFormat="1" x14ac:dyDescent="0.35">
      <c r="A59" s="21"/>
      <c r="C59" s="23"/>
      <c r="D59" s="24"/>
      <c r="E59" s="23"/>
    </row>
    <row r="60" spans="1:6" s="22" customFormat="1" x14ac:dyDescent="0.35">
      <c r="A60" s="21"/>
      <c r="C60" s="23"/>
      <c r="D60" s="24"/>
      <c r="E60" s="23"/>
    </row>
    <row r="61" spans="1:6" s="22" customFormat="1" x14ac:dyDescent="0.35">
      <c r="A61" s="21"/>
      <c r="C61" s="23"/>
      <c r="D61" s="24"/>
      <c r="E61" s="23"/>
    </row>
    <row r="62" spans="1:6" s="22" customFormat="1" x14ac:dyDescent="0.35">
      <c r="A62" s="21"/>
      <c r="C62" s="23"/>
      <c r="D62" s="24"/>
      <c r="E62" s="23"/>
    </row>
    <row r="63" spans="1:6" s="22" customFormat="1" x14ac:dyDescent="0.35">
      <c r="A63" s="21"/>
      <c r="C63" s="23"/>
      <c r="D63" s="24"/>
      <c r="E63" s="23"/>
    </row>
    <row r="64" spans="1:6" s="22" customFormat="1" x14ac:dyDescent="0.35">
      <c r="A64" s="21"/>
      <c r="C64" s="23"/>
      <c r="D64" s="24"/>
      <c r="E64" s="23"/>
    </row>
    <row r="65" spans="1:5" s="22" customFormat="1" x14ac:dyDescent="0.35">
      <c r="A65" s="21"/>
      <c r="C65" s="23"/>
      <c r="D65" s="24"/>
      <c r="E65" s="23"/>
    </row>
    <row r="66" spans="1:5" s="22" customFormat="1" x14ac:dyDescent="0.35">
      <c r="A66" s="21"/>
      <c r="C66" s="23"/>
      <c r="D66" s="24"/>
      <c r="E66" s="23"/>
    </row>
    <row r="67" spans="1:5" s="22" customFormat="1" x14ac:dyDescent="0.35">
      <c r="A67" s="21"/>
      <c r="C67" s="23"/>
      <c r="D67" s="24"/>
      <c r="E67" s="23"/>
    </row>
    <row r="68" spans="1:5" s="22" customFormat="1" x14ac:dyDescent="0.35">
      <c r="A68" s="21"/>
      <c r="C68" s="23"/>
      <c r="D68" s="24"/>
      <c r="E68" s="23"/>
    </row>
    <row r="69" spans="1:5" s="22" customFormat="1" x14ac:dyDescent="0.35">
      <c r="A69" s="21"/>
      <c r="C69" s="23"/>
      <c r="D69" s="24"/>
      <c r="E69" s="23"/>
    </row>
    <row r="70" spans="1:5" s="22" customFormat="1" x14ac:dyDescent="0.35">
      <c r="A70" s="21"/>
      <c r="C70" s="23"/>
      <c r="D70" s="24"/>
      <c r="E70" s="23"/>
    </row>
    <row r="71" spans="1:5" s="22" customFormat="1" x14ac:dyDescent="0.35">
      <c r="A71" s="21"/>
      <c r="C71" s="23"/>
      <c r="D71" s="24"/>
      <c r="E71" s="23"/>
    </row>
    <row r="72" spans="1:5" s="22" customFormat="1" x14ac:dyDescent="0.35">
      <c r="A72" s="21"/>
      <c r="C72" s="23"/>
      <c r="D72" s="24"/>
      <c r="E72" s="23"/>
    </row>
    <row r="73" spans="1:5" s="22" customFormat="1" x14ac:dyDescent="0.35">
      <c r="A73" s="21"/>
      <c r="C73" s="23"/>
      <c r="D73" s="24"/>
      <c r="E73" s="23"/>
    </row>
    <row r="74" spans="1:5" s="22" customFormat="1" x14ac:dyDescent="0.35">
      <c r="A74" s="21"/>
      <c r="C74" s="23"/>
      <c r="D74" s="24"/>
      <c r="E74" s="23"/>
    </row>
    <row r="75" spans="1:5" s="22" customFormat="1" x14ac:dyDescent="0.35">
      <c r="A75" s="21"/>
      <c r="C75" s="23"/>
      <c r="D75" s="24"/>
      <c r="E75" s="23"/>
    </row>
    <row r="76" spans="1:5" s="22" customFormat="1" x14ac:dyDescent="0.35">
      <c r="A76" s="21"/>
      <c r="C76" s="23"/>
      <c r="D76" s="24"/>
      <c r="E76" s="23"/>
    </row>
    <row r="77" spans="1:5" s="22" customFormat="1" x14ac:dyDescent="0.35">
      <c r="A77" s="21"/>
      <c r="C77" s="23"/>
      <c r="D77" s="24"/>
      <c r="E77" s="23"/>
    </row>
    <row r="78" spans="1:5" s="22" customFormat="1" x14ac:dyDescent="0.35">
      <c r="A78" s="21"/>
      <c r="C78" s="23"/>
      <c r="D78" s="24"/>
      <c r="E78" s="23"/>
    </row>
    <row r="79" spans="1:5" s="22" customFormat="1" x14ac:dyDescent="0.35">
      <c r="A79" s="21"/>
      <c r="C79" s="23"/>
      <c r="D79" s="24"/>
      <c r="E79" s="23"/>
    </row>
    <row r="80" spans="1:5" s="22" customFormat="1" x14ac:dyDescent="0.35">
      <c r="A80" s="21"/>
      <c r="C80" s="23"/>
      <c r="D80" s="24"/>
      <c r="E80" s="23"/>
    </row>
    <row r="81" spans="1:5" s="22" customFormat="1" x14ac:dyDescent="0.35">
      <c r="A81" s="21"/>
      <c r="C81" s="23"/>
      <c r="D81" s="24"/>
      <c r="E81" s="23"/>
    </row>
    <row r="82" spans="1:5" s="22" customFormat="1" x14ac:dyDescent="0.35">
      <c r="A82" s="21"/>
      <c r="C82" s="23"/>
      <c r="D82" s="24"/>
      <c r="E82" s="23"/>
    </row>
    <row r="83" spans="1:5" s="22" customFormat="1" x14ac:dyDescent="0.35">
      <c r="A83" s="21"/>
      <c r="C83" s="23"/>
      <c r="D83" s="24"/>
      <c r="E83" s="23"/>
    </row>
    <row r="84" spans="1:5" s="22" customFormat="1" x14ac:dyDescent="0.35">
      <c r="A84" s="21"/>
      <c r="C84" s="23"/>
      <c r="D84" s="24"/>
      <c r="E84" s="23"/>
    </row>
    <row r="85" spans="1:5" s="22" customFormat="1" x14ac:dyDescent="0.35">
      <c r="A85" s="21"/>
      <c r="C85" s="23"/>
      <c r="D85" s="24"/>
      <c r="E85" s="23"/>
    </row>
    <row r="86" spans="1:5" s="22" customFormat="1" x14ac:dyDescent="0.35">
      <c r="A86" s="21"/>
      <c r="C86" s="23"/>
      <c r="D86" s="24"/>
      <c r="E86" s="23"/>
    </row>
    <row r="87" spans="1:5" s="22" customFormat="1" x14ac:dyDescent="0.35">
      <c r="A87" s="21"/>
      <c r="C87" s="23"/>
      <c r="D87" s="24"/>
      <c r="E87" s="23"/>
    </row>
    <row r="88" spans="1:5" s="22" customFormat="1" x14ac:dyDescent="0.35">
      <c r="A88" s="21"/>
      <c r="C88" s="23"/>
      <c r="D88" s="24"/>
      <c r="E88" s="23"/>
    </row>
    <row r="89" spans="1:5" s="22" customFormat="1" x14ac:dyDescent="0.35">
      <c r="A89" s="21"/>
      <c r="C89" s="23"/>
      <c r="D89" s="24"/>
      <c r="E89" s="23"/>
    </row>
    <row r="90" spans="1:5" s="22" customFormat="1" x14ac:dyDescent="0.35">
      <c r="A90" s="21"/>
      <c r="C90" s="23"/>
      <c r="D90" s="24"/>
      <c r="E90" s="23"/>
    </row>
    <row r="91" spans="1:5" s="22" customFormat="1" x14ac:dyDescent="0.35">
      <c r="A91" s="21"/>
      <c r="C91" s="23"/>
      <c r="D91" s="24"/>
      <c r="E91" s="23"/>
    </row>
    <row r="92" spans="1:5" s="22" customFormat="1" x14ac:dyDescent="0.35">
      <c r="A92" s="21"/>
      <c r="C92" s="23"/>
      <c r="D92" s="24"/>
      <c r="E92" s="23"/>
    </row>
    <row r="93" spans="1:5" s="22" customFormat="1" x14ac:dyDescent="0.35">
      <c r="A93" s="21"/>
      <c r="C93" s="23"/>
      <c r="D93" s="24"/>
      <c r="E93" s="23"/>
    </row>
    <row r="94" spans="1:5" s="22" customFormat="1" x14ac:dyDescent="0.35">
      <c r="A94" s="21"/>
      <c r="C94" s="23"/>
      <c r="D94" s="24"/>
      <c r="E94" s="23"/>
    </row>
    <row r="95" spans="1:5" s="22" customFormat="1" x14ac:dyDescent="0.35">
      <c r="A95" s="21"/>
      <c r="C95" s="23"/>
      <c r="D95" s="24"/>
      <c r="E95" s="23"/>
    </row>
    <row r="96" spans="1:5" s="22" customFormat="1" x14ac:dyDescent="0.35">
      <c r="A96" s="21"/>
      <c r="C96" s="23"/>
      <c r="D96" s="24"/>
      <c r="E96" s="23"/>
    </row>
    <row r="97" spans="1:5" s="22" customFormat="1" x14ac:dyDescent="0.35">
      <c r="A97" s="21"/>
      <c r="C97" s="23"/>
      <c r="D97" s="24"/>
      <c r="E97" s="23"/>
    </row>
    <row r="98" spans="1:5" s="22" customFormat="1" x14ac:dyDescent="0.35">
      <c r="A98" s="21"/>
      <c r="C98" s="23"/>
      <c r="D98" s="24"/>
      <c r="E98" s="23"/>
    </row>
    <row r="99" spans="1:5" s="22" customFormat="1" x14ac:dyDescent="0.35">
      <c r="A99" s="21"/>
      <c r="C99" s="23"/>
      <c r="D99" s="24"/>
      <c r="E99" s="23"/>
    </row>
    <row r="100" spans="1:5" s="22" customFormat="1" x14ac:dyDescent="0.35">
      <c r="A100" s="21"/>
      <c r="C100" s="23"/>
      <c r="D100" s="24"/>
      <c r="E100" s="23"/>
    </row>
    <row r="101" spans="1:5" s="22" customFormat="1" x14ac:dyDescent="0.35">
      <c r="A101" s="21"/>
      <c r="C101" s="23"/>
      <c r="D101" s="24"/>
      <c r="E101" s="23"/>
    </row>
    <row r="102" spans="1:5" s="22" customFormat="1" x14ac:dyDescent="0.35">
      <c r="A102" s="21"/>
      <c r="C102" s="23"/>
      <c r="D102" s="24"/>
      <c r="E102" s="23"/>
    </row>
    <row r="103" spans="1:5" s="22" customFormat="1" x14ac:dyDescent="0.35">
      <c r="A103" s="21"/>
      <c r="C103" s="23"/>
      <c r="D103" s="24"/>
      <c r="E103" s="23"/>
    </row>
    <row r="104" spans="1:5" s="22" customFormat="1" x14ac:dyDescent="0.35">
      <c r="A104" s="21"/>
      <c r="C104" s="23"/>
      <c r="D104" s="24"/>
      <c r="E104" s="23"/>
    </row>
    <row r="105" spans="1:5" s="22" customFormat="1" x14ac:dyDescent="0.35">
      <c r="A105" s="21"/>
      <c r="C105" s="23"/>
      <c r="D105" s="24"/>
      <c r="E105" s="23"/>
    </row>
    <row r="106" spans="1:5" s="22" customFormat="1" x14ac:dyDescent="0.35">
      <c r="A106" s="21"/>
      <c r="C106" s="23"/>
      <c r="D106" s="24"/>
      <c r="E106" s="23"/>
    </row>
    <row r="107" spans="1:5" s="22" customFormat="1" x14ac:dyDescent="0.35">
      <c r="A107" s="21"/>
      <c r="C107" s="23"/>
      <c r="D107" s="24"/>
      <c r="E107" s="23"/>
    </row>
    <row r="108" spans="1:5" s="22" customFormat="1" x14ac:dyDescent="0.35">
      <c r="A108" s="21"/>
      <c r="C108" s="23"/>
      <c r="D108" s="24"/>
      <c r="E108" s="23"/>
    </row>
    <row r="109" spans="1:5" s="22" customFormat="1" x14ac:dyDescent="0.35">
      <c r="A109" s="21"/>
      <c r="C109" s="23"/>
      <c r="D109" s="24"/>
      <c r="E109" s="23"/>
    </row>
    <row r="110" spans="1:5" s="22" customFormat="1" x14ac:dyDescent="0.35">
      <c r="A110" s="21"/>
      <c r="C110" s="23"/>
      <c r="D110" s="24"/>
      <c r="E110" s="23"/>
    </row>
    <row r="111" spans="1:5" s="22" customFormat="1" x14ac:dyDescent="0.35">
      <c r="A111" s="21"/>
      <c r="C111" s="23"/>
      <c r="D111" s="24"/>
      <c r="E111" s="23"/>
    </row>
    <row r="112" spans="1:5" s="22" customFormat="1" x14ac:dyDescent="0.35">
      <c r="A112" s="21"/>
      <c r="C112" s="23"/>
      <c r="D112" s="24"/>
      <c r="E112" s="23"/>
    </row>
    <row r="113" spans="1:5" s="22" customFormat="1" x14ac:dyDescent="0.35">
      <c r="A113" s="21"/>
      <c r="C113" s="23"/>
      <c r="D113" s="24"/>
      <c r="E113" s="23"/>
    </row>
    <row r="114" spans="1:5" s="22" customFormat="1" x14ac:dyDescent="0.35">
      <c r="A114" s="21"/>
      <c r="C114" s="23"/>
      <c r="D114" s="24"/>
      <c r="E114" s="23"/>
    </row>
    <row r="115" spans="1:5" s="22" customFormat="1" x14ac:dyDescent="0.35">
      <c r="A115" s="21"/>
      <c r="C115" s="23"/>
      <c r="D115" s="24"/>
      <c r="E115" s="23"/>
    </row>
    <row r="116" spans="1:5" s="22" customFormat="1" x14ac:dyDescent="0.35">
      <c r="A116" s="21"/>
      <c r="C116" s="23"/>
      <c r="D116" s="24"/>
      <c r="E116" s="23"/>
    </row>
    <row r="117" spans="1:5" s="22" customFormat="1" x14ac:dyDescent="0.35">
      <c r="A117" s="21"/>
      <c r="C117" s="23"/>
      <c r="D117" s="24"/>
      <c r="E117" s="23"/>
    </row>
    <row r="118" spans="1:5" s="22" customFormat="1" x14ac:dyDescent="0.35">
      <c r="A118" s="21"/>
      <c r="C118" s="23"/>
      <c r="D118" s="24"/>
      <c r="E118" s="23"/>
    </row>
    <row r="119" spans="1:5" s="22" customFormat="1" x14ac:dyDescent="0.35">
      <c r="A119" s="21"/>
      <c r="C119" s="23"/>
      <c r="D119" s="24"/>
      <c r="E119" s="23"/>
    </row>
    <row r="120" spans="1:5" s="22" customFormat="1" x14ac:dyDescent="0.35">
      <c r="A120" s="21"/>
      <c r="C120" s="23"/>
      <c r="D120" s="24"/>
      <c r="E120" s="23"/>
    </row>
    <row r="121" spans="1:5" s="22" customFormat="1" x14ac:dyDescent="0.35">
      <c r="A121" s="21"/>
      <c r="C121" s="23"/>
      <c r="D121" s="24"/>
      <c r="E121" s="23"/>
    </row>
    <row r="122" spans="1:5" s="22" customFormat="1" x14ac:dyDescent="0.35">
      <c r="A122" s="21"/>
      <c r="C122" s="23"/>
      <c r="D122" s="24"/>
      <c r="E122" s="23"/>
    </row>
    <row r="123" spans="1:5" s="22" customFormat="1" x14ac:dyDescent="0.35">
      <c r="A123" s="21"/>
      <c r="C123" s="23"/>
      <c r="D123" s="24"/>
      <c r="E123" s="23"/>
    </row>
    <row r="124" spans="1:5" s="22" customFormat="1" x14ac:dyDescent="0.35">
      <c r="A124" s="21"/>
      <c r="C124" s="23"/>
      <c r="D124" s="24"/>
      <c r="E124" s="23"/>
    </row>
    <row r="125" spans="1:5" s="22" customFormat="1" x14ac:dyDescent="0.35">
      <c r="A125" s="21"/>
      <c r="C125" s="23"/>
      <c r="D125" s="24"/>
      <c r="E125" s="23"/>
    </row>
    <row r="126" spans="1:5" s="22" customFormat="1" x14ac:dyDescent="0.35">
      <c r="A126" s="21"/>
      <c r="C126" s="23"/>
      <c r="D126" s="24"/>
      <c r="E126" s="23"/>
    </row>
    <row r="127" spans="1:5" s="22" customFormat="1" x14ac:dyDescent="0.35">
      <c r="A127" s="21"/>
      <c r="C127" s="23"/>
      <c r="D127" s="24"/>
      <c r="E127" s="23"/>
    </row>
    <row r="128" spans="1:5" s="22" customFormat="1" x14ac:dyDescent="0.35">
      <c r="A128" s="21"/>
      <c r="C128" s="23"/>
      <c r="D128" s="24"/>
      <c r="E128" s="23"/>
    </row>
    <row r="129" spans="1:5" s="22" customFormat="1" x14ac:dyDescent="0.35">
      <c r="A129" s="21"/>
      <c r="C129" s="23"/>
      <c r="D129" s="24"/>
      <c r="E129" s="23"/>
    </row>
    <row r="130" spans="1:5" s="22" customFormat="1" x14ac:dyDescent="0.35">
      <c r="A130" s="21"/>
      <c r="C130" s="23"/>
      <c r="D130" s="24"/>
      <c r="E130" s="23"/>
    </row>
    <row r="131" spans="1:5" s="22" customFormat="1" x14ac:dyDescent="0.35">
      <c r="A131" s="21"/>
      <c r="C131" s="23"/>
      <c r="D131" s="24"/>
      <c r="E131" s="23"/>
    </row>
    <row r="132" spans="1:5" s="22" customFormat="1" x14ac:dyDescent="0.35">
      <c r="A132" s="21"/>
      <c r="C132" s="23"/>
      <c r="D132" s="24"/>
      <c r="E132" s="23"/>
    </row>
    <row r="133" spans="1:5" s="22" customFormat="1" x14ac:dyDescent="0.35">
      <c r="A133" s="21"/>
      <c r="C133" s="23"/>
      <c r="D133" s="24"/>
      <c r="E133" s="23"/>
    </row>
    <row r="134" spans="1:5" s="22" customFormat="1" x14ac:dyDescent="0.35">
      <c r="A134" s="21"/>
      <c r="C134" s="23"/>
      <c r="D134" s="24"/>
      <c r="E134" s="23"/>
    </row>
    <row r="135" spans="1:5" s="22" customFormat="1" x14ac:dyDescent="0.35">
      <c r="A135" s="21"/>
      <c r="C135" s="23"/>
      <c r="D135" s="24"/>
      <c r="E135" s="23"/>
    </row>
    <row r="136" spans="1:5" s="22" customFormat="1" x14ac:dyDescent="0.35">
      <c r="A136" s="21"/>
      <c r="C136" s="23"/>
      <c r="D136" s="24"/>
      <c r="E136" s="23"/>
    </row>
    <row r="137" spans="1:5" s="22" customFormat="1" x14ac:dyDescent="0.35">
      <c r="A137" s="21"/>
      <c r="C137" s="23"/>
      <c r="D137" s="24"/>
      <c r="E137" s="23"/>
    </row>
    <row r="138" spans="1:5" s="22" customFormat="1" x14ac:dyDescent="0.35">
      <c r="A138" s="21"/>
      <c r="C138" s="23"/>
      <c r="D138" s="24"/>
      <c r="E138" s="23"/>
    </row>
    <row r="139" spans="1:5" s="22" customFormat="1" x14ac:dyDescent="0.35">
      <c r="A139" s="21"/>
      <c r="C139" s="23"/>
      <c r="D139" s="24"/>
      <c r="E139" s="23"/>
    </row>
    <row r="140" spans="1:5" s="22" customFormat="1" x14ac:dyDescent="0.35">
      <c r="A140" s="21"/>
      <c r="C140" s="23"/>
      <c r="D140" s="24"/>
      <c r="E140" s="23"/>
    </row>
    <row r="141" spans="1:5" s="22" customFormat="1" x14ac:dyDescent="0.35">
      <c r="A141" s="21"/>
      <c r="C141" s="23"/>
      <c r="D141" s="24"/>
      <c r="E141" s="23"/>
    </row>
    <row r="142" spans="1:5" s="22" customFormat="1" x14ac:dyDescent="0.35">
      <c r="A142" s="21"/>
      <c r="C142" s="23"/>
      <c r="D142" s="24"/>
      <c r="E142" s="23"/>
    </row>
    <row r="143" spans="1:5" s="22" customFormat="1" x14ac:dyDescent="0.35">
      <c r="A143" s="21"/>
      <c r="C143" s="23"/>
      <c r="D143" s="24"/>
      <c r="E143" s="23"/>
    </row>
    <row r="144" spans="1:5" s="22" customFormat="1" x14ac:dyDescent="0.35">
      <c r="A144" s="21"/>
      <c r="C144" s="23"/>
      <c r="D144" s="24"/>
      <c r="E144" s="23"/>
    </row>
    <row r="145" spans="1:5" s="22" customFormat="1" x14ac:dyDescent="0.35">
      <c r="A145" s="21"/>
      <c r="C145" s="23"/>
      <c r="D145" s="24"/>
      <c r="E145" s="23"/>
    </row>
    <row r="146" spans="1:5" s="22" customFormat="1" x14ac:dyDescent="0.35">
      <c r="A146" s="21"/>
      <c r="C146" s="23"/>
      <c r="D146" s="24"/>
      <c r="E146" s="23"/>
    </row>
    <row r="147" spans="1:5" s="22" customFormat="1" x14ac:dyDescent="0.35">
      <c r="A147" s="21"/>
      <c r="C147" s="23"/>
      <c r="D147" s="24"/>
      <c r="E147" s="23"/>
    </row>
    <row r="148" spans="1:5" s="22" customFormat="1" x14ac:dyDescent="0.35">
      <c r="A148" s="21"/>
      <c r="C148" s="23"/>
      <c r="D148" s="24"/>
      <c r="E148" s="23"/>
    </row>
    <row r="149" spans="1:5" s="22" customFormat="1" x14ac:dyDescent="0.35">
      <c r="A149" s="21"/>
      <c r="C149" s="23"/>
      <c r="D149" s="24"/>
      <c r="E149" s="23"/>
    </row>
    <row r="150" spans="1:5" s="22" customFormat="1" x14ac:dyDescent="0.35">
      <c r="A150" s="21"/>
      <c r="C150" s="23"/>
      <c r="D150" s="24"/>
      <c r="E150" s="23"/>
    </row>
    <row r="151" spans="1:5" s="22" customFormat="1" x14ac:dyDescent="0.35">
      <c r="A151" s="21"/>
      <c r="C151" s="23"/>
      <c r="D151" s="24"/>
      <c r="E151" s="23"/>
    </row>
    <row r="152" spans="1:5" s="22" customFormat="1" x14ac:dyDescent="0.35">
      <c r="A152" s="21"/>
      <c r="C152" s="23"/>
      <c r="D152" s="24"/>
      <c r="E152" s="23"/>
    </row>
    <row r="153" spans="1:5" s="22" customFormat="1" x14ac:dyDescent="0.35">
      <c r="A153" s="21"/>
      <c r="C153" s="23"/>
      <c r="D153" s="24"/>
      <c r="E153" s="23"/>
    </row>
    <row r="154" spans="1:5" s="22" customFormat="1" x14ac:dyDescent="0.35">
      <c r="A154" s="21"/>
      <c r="C154" s="23"/>
      <c r="D154" s="24"/>
      <c r="E154" s="23"/>
    </row>
    <row r="155" spans="1:5" s="22" customFormat="1" x14ac:dyDescent="0.35">
      <c r="A155" s="21"/>
      <c r="C155" s="23"/>
      <c r="D155" s="24"/>
      <c r="E155" s="23"/>
    </row>
    <row r="156" spans="1:5" s="22" customFormat="1" x14ac:dyDescent="0.35">
      <c r="A156" s="21"/>
      <c r="C156" s="23"/>
      <c r="D156" s="24"/>
      <c r="E156" s="23"/>
    </row>
    <row r="157" spans="1:5" s="22" customFormat="1" x14ac:dyDescent="0.35">
      <c r="A157" s="21"/>
      <c r="C157" s="23"/>
      <c r="D157" s="24"/>
      <c r="E157" s="23"/>
    </row>
    <row r="158" spans="1:5" s="22" customFormat="1" x14ac:dyDescent="0.35">
      <c r="A158" s="21"/>
      <c r="C158" s="23"/>
      <c r="D158" s="24"/>
      <c r="E158" s="23"/>
    </row>
    <row r="159" spans="1:5" s="22" customFormat="1" x14ac:dyDescent="0.35">
      <c r="A159" s="21"/>
      <c r="C159" s="23"/>
      <c r="D159" s="24"/>
      <c r="E159" s="23"/>
    </row>
    <row r="160" spans="1:5" s="22" customFormat="1" x14ac:dyDescent="0.35">
      <c r="A160" s="21"/>
      <c r="C160" s="23"/>
      <c r="D160" s="24"/>
      <c r="E160" s="23"/>
    </row>
    <row r="161" spans="1:5" s="22" customFormat="1" x14ac:dyDescent="0.35">
      <c r="A161" s="21"/>
      <c r="C161" s="23"/>
      <c r="D161" s="24"/>
      <c r="E161" s="23"/>
    </row>
    <row r="162" spans="1:5" s="22" customFormat="1" x14ac:dyDescent="0.35">
      <c r="A162" s="21"/>
      <c r="C162" s="23"/>
      <c r="D162" s="24"/>
      <c r="E162" s="23"/>
    </row>
    <row r="163" spans="1:5" s="22" customFormat="1" x14ac:dyDescent="0.35">
      <c r="A163" s="21"/>
      <c r="C163" s="23"/>
      <c r="D163" s="24"/>
      <c r="E163" s="23"/>
    </row>
    <row r="164" spans="1:5" s="22" customFormat="1" x14ac:dyDescent="0.35">
      <c r="A164" s="21"/>
      <c r="C164" s="23"/>
      <c r="D164" s="24"/>
      <c r="E164" s="23"/>
    </row>
    <row r="165" spans="1:5" s="22" customFormat="1" x14ac:dyDescent="0.35">
      <c r="A165" s="21"/>
      <c r="C165" s="23"/>
      <c r="D165" s="24"/>
      <c r="E165" s="23"/>
    </row>
    <row r="166" spans="1:5" s="22" customFormat="1" x14ac:dyDescent="0.35">
      <c r="A166" s="21"/>
      <c r="C166" s="23"/>
      <c r="D166" s="24"/>
      <c r="E166" s="23"/>
    </row>
    <row r="167" spans="1:5" s="22" customFormat="1" x14ac:dyDescent="0.35">
      <c r="A167" s="21"/>
      <c r="C167" s="23"/>
      <c r="D167" s="24"/>
      <c r="E167" s="23"/>
    </row>
    <row r="168" spans="1:5" s="22" customFormat="1" x14ac:dyDescent="0.35">
      <c r="A168" s="21"/>
      <c r="C168" s="23"/>
      <c r="D168" s="24"/>
      <c r="E168" s="23"/>
    </row>
    <row r="169" spans="1:5" s="22" customFormat="1" x14ac:dyDescent="0.35">
      <c r="A169" s="21"/>
      <c r="C169" s="23"/>
      <c r="D169" s="24"/>
      <c r="E169" s="23"/>
    </row>
    <row r="170" spans="1:5" s="22" customFormat="1" x14ac:dyDescent="0.35">
      <c r="A170" s="21"/>
      <c r="C170" s="23"/>
      <c r="D170" s="24"/>
      <c r="E170" s="23"/>
    </row>
    <row r="171" spans="1:5" s="22" customFormat="1" x14ac:dyDescent="0.35">
      <c r="A171" s="21"/>
      <c r="C171" s="23"/>
      <c r="D171" s="24"/>
      <c r="E171" s="23"/>
    </row>
    <row r="172" spans="1:5" s="22" customFormat="1" x14ac:dyDescent="0.35">
      <c r="A172" s="21"/>
      <c r="C172" s="23"/>
      <c r="D172" s="24"/>
      <c r="E172" s="23"/>
    </row>
    <row r="173" spans="1:5" s="22" customFormat="1" x14ac:dyDescent="0.35">
      <c r="A173" s="21"/>
      <c r="C173" s="23"/>
      <c r="D173" s="24"/>
      <c r="E173" s="23"/>
    </row>
    <row r="174" spans="1:5" s="22" customFormat="1" x14ac:dyDescent="0.35">
      <c r="A174" s="21"/>
      <c r="C174" s="23"/>
      <c r="D174" s="24"/>
      <c r="E174" s="23"/>
    </row>
    <row r="175" spans="1:5" s="22" customFormat="1" x14ac:dyDescent="0.35">
      <c r="A175" s="21"/>
      <c r="C175" s="23"/>
      <c r="D175" s="24"/>
      <c r="E175" s="23"/>
    </row>
    <row r="176" spans="1:5" s="22" customFormat="1" x14ac:dyDescent="0.35">
      <c r="A176" s="21"/>
      <c r="C176" s="23"/>
      <c r="D176" s="24"/>
      <c r="E176" s="23"/>
    </row>
    <row r="177" spans="1:5" s="22" customFormat="1" x14ac:dyDescent="0.35">
      <c r="A177" s="21"/>
      <c r="C177" s="23"/>
      <c r="D177" s="24"/>
      <c r="E177" s="23"/>
    </row>
    <row r="178" spans="1:5" s="22" customFormat="1" x14ac:dyDescent="0.35">
      <c r="A178" s="21"/>
      <c r="C178" s="23"/>
      <c r="D178" s="24"/>
      <c r="E178" s="23"/>
    </row>
    <row r="179" spans="1:5" s="22" customFormat="1" x14ac:dyDescent="0.35">
      <c r="A179" s="21"/>
      <c r="C179" s="23"/>
      <c r="D179" s="24"/>
      <c r="E179" s="23"/>
    </row>
    <row r="180" spans="1:5" s="22" customFormat="1" x14ac:dyDescent="0.35">
      <c r="A180" s="21"/>
      <c r="C180" s="23"/>
      <c r="D180" s="24"/>
      <c r="E180" s="23"/>
    </row>
    <row r="181" spans="1:5" s="22" customFormat="1" x14ac:dyDescent="0.35">
      <c r="A181" s="21"/>
      <c r="C181" s="23"/>
      <c r="D181" s="24"/>
      <c r="E181" s="23"/>
    </row>
    <row r="182" spans="1:5" s="22" customFormat="1" x14ac:dyDescent="0.35">
      <c r="A182" s="21"/>
      <c r="C182" s="23"/>
      <c r="D182" s="24"/>
      <c r="E182" s="23"/>
    </row>
    <row r="183" spans="1:5" s="22" customFormat="1" x14ac:dyDescent="0.35">
      <c r="A183" s="21"/>
      <c r="C183" s="23"/>
      <c r="D183" s="24"/>
      <c r="E183" s="23"/>
    </row>
    <row r="184" spans="1:5" s="22" customFormat="1" x14ac:dyDescent="0.35">
      <c r="A184" s="21"/>
      <c r="C184" s="23"/>
      <c r="D184" s="24"/>
      <c r="E184" s="23"/>
    </row>
    <row r="185" spans="1:5" s="22" customFormat="1" x14ac:dyDescent="0.35">
      <c r="A185" s="21"/>
      <c r="C185" s="23"/>
      <c r="D185" s="24"/>
      <c r="E185" s="23"/>
    </row>
    <row r="186" spans="1:5" s="22" customFormat="1" x14ac:dyDescent="0.35">
      <c r="A186" s="21"/>
      <c r="C186" s="23"/>
      <c r="D186" s="24"/>
      <c r="E186" s="23"/>
    </row>
    <row r="187" spans="1:5" s="22" customFormat="1" x14ac:dyDescent="0.35">
      <c r="A187" s="21"/>
      <c r="C187" s="23"/>
      <c r="D187" s="24"/>
      <c r="E187" s="23"/>
    </row>
    <row r="188" spans="1:5" s="22" customFormat="1" x14ac:dyDescent="0.35">
      <c r="A188" s="21"/>
      <c r="C188" s="23"/>
      <c r="D188" s="24"/>
      <c r="E188" s="23"/>
    </row>
    <row r="189" spans="1:5" s="22" customFormat="1" x14ac:dyDescent="0.35">
      <c r="A189" s="21"/>
      <c r="C189" s="23"/>
      <c r="D189" s="24"/>
      <c r="E189" s="23"/>
    </row>
    <row r="190" spans="1:5" s="22" customFormat="1" x14ac:dyDescent="0.35">
      <c r="A190" s="21"/>
      <c r="C190" s="23"/>
      <c r="D190" s="24"/>
      <c r="E190" s="23"/>
    </row>
    <row r="191" spans="1:5" s="22" customFormat="1" x14ac:dyDescent="0.35">
      <c r="A191" s="21"/>
      <c r="C191" s="23"/>
      <c r="D191" s="24"/>
      <c r="E191" s="23"/>
    </row>
    <row r="192" spans="1:5" s="22" customFormat="1" x14ac:dyDescent="0.35">
      <c r="A192" s="21"/>
      <c r="C192" s="23"/>
      <c r="D192" s="24"/>
      <c r="E192" s="23"/>
    </row>
    <row r="193" spans="1:5" s="22" customFormat="1" x14ac:dyDescent="0.35">
      <c r="A193" s="21"/>
      <c r="C193" s="23"/>
      <c r="D193" s="24"/>
      <c r="E193" s="23"/>
    </row>
    <row r="194" spans="1:5" s="22" customFormat="1" x14ac:dyDescent="0.35">
      <c r="A194" s="21"/>
      <c r="C194" s="23"/>
      <c r="D194" s="24"/>
      <c r="E194" s="23"/>
    </row>
    <row r="195" spans="1:5" s="22" customFormat="1" x14ac:dyDescent="0.35">
      <c r="A195" s="21"/>
      <c r="C195" s="23"/>
      <c r="D195" s="24"/>
      <c r="E195" s="23"/>
    </row>
    <row r="196" spans="1:5" s="22" customFormat="1" x14ac:dyDescent="0.35">
      <c r="A196" s="21"/>
      <c r="C196" s="23"/>
      <c r="D196" s="24"/>
      <c r="E196" s="23"/>
    </row>
    <row r="197" spans="1:5" s="22" customFormat="1" x14ac:dyDescent="0.35">
      <c r="A197" s="21"/>
      <c r="C197" s="23"/>
      <c r="D197" s="24"/>
      <c r="E197" s="23"/>
    </row>
    <row r="198" spans="1:5" s="22" customFormat="1" x14ac:dyDescent="0.35">
      <c r="A198" s="21"/>
      <c r="C198" s="23"/>
      <c r="D198" s="24"/>
      <c r="E198" s="23"/>
    </row>
    <row r="199" spans="1:5" s="22" customFormat="1" x14ac:dyDescent="0.35">
      <c r="A199" s="21"/>
      <c r="C199" s="23"/>
      <c r="D199" s="24"/>
      <c r="E199" s="23"/>
    </row>
    <row r="200" spans="1:5" s="22" customFormat="1" x14ac:dyDescent="0.35">
      <c r="A200" s="21"/>
      <c r="C200" s="23"/>
      <c r="D200" s="24"/>
      <c r="E200" s="23"/>
    </row>
    <row r="201" spans="1:5" s="22" customFormat="1" x14ac:dyDescent="0.35">
      <c r="A201" s="21"/>
      <c r="C201" s="23"/>
      <c r="D201" s="24"/>
      <c r="E201" s="23"/>
    </row>
    <row r="202" spans="1:5" s="22" customFormat="1" x14ac:dyDescent="0.35">
      <c r="A202" s="21"/>
      <c r="C202" s="23"/>
      <c r="D202" s="24"/>
      <c r="E202" s="23"/>
    </row>
    <row r="203" spans="1:5" s="22" customFormat="1" x14ac:dyDescent="0.35">
      <c r="A203" s="21"/>
      <c r="C203" s="23"/>
      <c r="D203" s="24"/>
      <c r="E203" s="23"/>
    </row>
    <row r="204" spans="1:5" s="22" customFormat="1" x14ac:dyDescent="0.35">
      <c r="A204" s="21"/>
      <c r="C204" s="23"/>
      <c r="D204" s="24"/>
      <c r="E204" s="23"/>
    </row>
    <row r="205" spans="1:5" s="22" customFormat="1" x14ac:dyDescent="0.35">
      <c r="A205" s="21"/>
      <c r="C205" s="23"/>
      <c r="D205" s="24"/>
      <c r="E205" s="23"/>
    </row>
    <row r="206" spans="1:5" s="22" customFormat="1" x14ac:dyDescent="0.35">
      <c r="A206" s="21"/>
      <c r="C206" s="23"/>
      <c r="D206" s="24"/>
      <c r="E206" s="23"/>
    </row>
    <row r="207" spans="1:5" s="22" customFormat="1" x14ac:dyDescent="0.35">
      <c r="A207" s="21"/>
      <c r="C207" s="23"/>
      <c r="D207" s="24"/>
      <c r="E207" s="23"/>
    </row>
    <row r="208" spans="1:5" s="22" customFormat="1" x14ac:dyDescent="0.35">
      <c r="A208" s="21"/>
      <c r="C208" s="23"/>
      <c r="D208" s="24"/>
      <c r="E208" s="23"/>
    </row>
    <row r="209" spans="1:5" s="22" customFormat="1" x14ac:dyDescent="0.35">
      <c r="A209" s="21"/>
      <c r="C209" s="23"/>
      <c r="D209" s="24"/>
      <c r="E209" s="23"/>
    </row>
    <row r="210" spans="1:5" s="22" customFormat="1" x14ac:dyDescent="0.35">
      <c r="A210" s="21"/>
      <c r="C210" s="23"/>
      <c r="D210" s="24"/>
      <c r="E210" s="23"/>
    </row>
    <row r="211" spans="1:5" s="22" customFormat="1" x14ac:dyDescent="0.35">
      <c r="A211" s="21"/>
      <c r="C211" s="23"/>
      <c r="D211" s="24"/>
      <c r="E211" s="23"/>
    </row>
    <row r="212" spans="1:5" s="22" customFormat="1" x14ac:dyDescent="0.35">
      <c r="A212" s="21"/>
      <c r="C212" s="23"/>
      <c r="D212" s="24"/>
      <c r="E212" s="23"/>
    </row>
    <row r="213" spans="1:5" s="22" customFormat="1" x14ac:dyDescent="0.35">
      <c r="A213" s="21"/>
      <c r="C213" s="23"/>
      <c r="D213" s="24"/>
      <c r="E213" s="23"/>
    </row>
    <row r="214" spans="1:5" s="22" customFormat="1" x14ac:dyDescent="0.35">
      <c r="A214" s="21"/>
      <c r="C214" s="23"/>
      <c r="D214" s="24"/>
      <c r="E214" s="23"/>
    </row>
    <row r="215" spans="1:5" s="22" customFormat="1" x14ac:dyDescent="0.35">
      <c r="A215" s="21"/>
      <c r="C215" s="23"/>
      <c r="D215" s="24"/>
      <c r="E215" s="23"/>
    </row>
    <row r="216" spans="1:5" s="22" customFormat="1" x14ac:dyDescent="0.35">
      <c r="A216" s="21"/>
      <c r="C216" s="23"/>
      <c r="D216" s="24"/>
      <c r="E216" s="23"/>
    </row>
    <row r="217" spans="1:5" s="22" customFormat="1" x14ac:dyDescent="0.35">
      <c r="A217" s="21"/>
      <c r="C217" s="23"/>
      <c r="D217" s="24"/>
      <c r="E217" s="23"/>
    </row>
    <row r="218" spans="1:5" s="22" customFormat="1" x14ac:dyDescent="0.35">
      <c r="A218" s="21"/>
      <c r="C218" s="23"/>
      <c r="D218" s="24"/>
      <c r="E218" s="23"/>
    </row>
    <row r="219" spans="1:5" s="22" customFormat="1" x14ac:dyDescent="0.35">
      <c r="A219" s="21"/>
      <c r="C219" s="23"/>
      <c r="D219" s="24"/>
      <c r="E219" s="23"/>
    </row>
    <row r="220" spans="1:5" s="22" customFormat="1" x14ac:dyDescent="0.35">
      <c r="A220" s="21"/>
      <c r="C220" s="23"/>
      <c r="D220" s="24"/>
      <c r="E220" s="23"/>
    </row>
    <row r="221" spans="1:5" s="22" customFormat="1" x14ac:dyDescent="0.35">
      <c r="A221" s="21"/>
      <c r="C221" s="23"/>
      <c r="D221" s="24"/>
      <c r="E221" s="23"/>
    </row>
    <row r="222" spans="1:5" s="22" customFormat="1" x14ac:dyDescent="0.35">
      <c r="A222" s="21"/>
      <c r="C222" s="23"/>
      <c r="D222" s="24"/>
      <c r="E222" s="23"/>
    </row>
    <row r="223" spans="1:5" s="22" customFormat="1" x14ac:dyDescent="0.35">
      <c r="A223" s="21"/>
      <c r="C223" s="23"/>
      <c r="D223" s="24"/>
      <c r="E223" s="23"/>
    </row>
    <row r="224" spans="1:5" s="22" customFormat="1" x14ac:dyDescent="0.35">
      <c r="A224" s="21"/>
      <c r="C224" s="23"/>
      <c r="D224" s="24"/>
      <c r="E224" s="23"/>
    </row>
    <row r="225" spans="1:5" s="22" customFormat="1" x14ac:dyDescent="0.35">
      <c r="A225" s="21"/>
      <c r="C225" s="23"/>
      <c r="D225" s="24"/>
      <c r="E225" s="23"/>
    </row>
    <row r="226" spans="1:5" s="22" customFormat="1" x14ac:dyDescent="0.35">
      <c r="A226" s="21"/>
      <c r="C226" s="23"/>
      <c r="D226" s="24"/>
      <c r="E226" s="23"/>
    </row>
    <row r="227" spans="1:5" s="22" customFormat="1" x14ac:dyDescent="0.35">
      <c r="A227" s="21"/>
      <c r="C227" s="23"/>
      <c r="D227" s="24"/>
      <c r="E227" s="23"/>
    </row>
    <row r="228" spans="1:5" s="22" customFormat="1" x14ac:dyDescent="0.35">
      <c r="A228" s="21"/>
      <c r="C228" s="23"/>
      <c r="D228" s="24"/>
      <c r="E228" s="23"/>
    </row>
    <row r="229" spans="1:5" s="22" customFormat="1" x14ac:dyDescent="0.35">
      <c r="A229" s="21"/>
      <c r="C229" s="23"/>
      <c r="D229" s="24"/>
      <c r="E229" s="23"/>
    </row>
    <row r="230" spans="1:5" s="22" customFormat="1" x14ac:dyDescent="0.35">
      <c r="A230" s="21"/>
      <c r="C230" s="23"/>
      <c r="D230" s="24"/>
      <c r="E230" s="23"/>
    </row>
    <row r="231" spans="1:5" s="22" customFormat="1" x14ac:dyDescent="0.35">
      <c r="A231" s="21"/>
      <c r="C231" s="23"/>
      <c r="D231" s="24"/>
      <c r="E231" s="23"/>
    </row>
    <row r="232" spans="1:5" s="22" customFormat="1" x14ac:dyDescent="0.35">
      <c r="A232" s="21"/>
      <c r="C232" s="23"/>
      <c r="D232" s="24"/>
      <c r="E232" s="23"/>
    </row>
    <row r="233" spans="1:5" s="22" customFormat="1" x14ac:dyDescent="0.35">
      <c r="A233" s="21"/>
      <c r="C233" s="23"/>
      <c r="D233" s="24"/>
      <c r="E233" s="23"/>
    </row>
    <row r="234" spans="1:5" s="22" customFormat="1" x14ac:dyDescent="0.35">
      <c r="A234" s="21"/>
      <c r="C234" s="23"/>
      <c r="D234" s="24"/>
      <c r="E234" s="23"/>
    </row>
    <row r="235" spans="1:5" s="22" customFormat="1" x14ac:dyDescent="0.35">
      <c r="A235" s="21"/>
      <c r="C235" s="23"/>
      <c r="D235" s="24"/>
      <c r="E235" s="23"/>
    </row>
    <row r="236" spans="1:5" s="22" customFormat="1" x14ac:dyDescent="0.35">
      <c r="A236" s="21"/>
      <c r="C236" s="23"/>
      <c r="D236" s="24"/>
      <c r="E236" s="23"/>
    </row>
    <row r="237" spans="1:5" s="22" customFormat="1" x14ac:dyDescent="0.35">
      <c r="A237" s="21"/>
      <c r="C237" s="23"/>
      <c r="D237" s="24"/>
      <c r="E237" s="23"/>
    </row>
    <row r="238" spans="1:5" s="22" customFormat="1" x14ac:dyDescent="0.35">
      <c r="A238" s="21"/>
      <c r="C238" s="23"/>
      <c r="D238" s="24"/>
      <c r="E238" s="23"/>
    </row>
    <row r="239" spans="1:5" s="22" customFormat="1" x14ac:dyDescent="0.35">
      <c r="A239" s="21"/>
      <c r="C239" s="23"/>
      <c r="D239" s="24"/>
      <c r="E239" s="23"/>
    </row>
    <row r="240" spans="1:5" s="22" customFormat="1" x14ac:dyDescent="0.35">
      <c r="A240" s="21"/>
      <c r="C240" s="23"/>
      <c r="D240" s="24"/>
      <c r="E240" s="23"/>
    </row>
    <row r="241" spans="1:5" s="22" customFormat="1" x14ac:dyDescent="0.35">
      <c r="A241" s="21"/>
      <c r="C241" s="23"/>
      <c r="D241" s="24"/>
      <c r="E241" s="23"/>
    </row>
    <row r="242" spans="1:5" s="22" customFormat="1" x14ac:dyDescent="0.35">
      <c r="A242" s="21"/>
      <c r="C242" s="23"/>
      <c r="D242" s="24"/>
      <c r="E242" s="23"/>
    </row>
    <row r="243" spans="1:5" s="22" customFormat="1" x14ac:dyDescent="0.35">
      <c r="A243" s="21"/>
      <c r="C243" s="23"/>
      <c r="D243" s="24"/>
      <c r="E243" s="23"/>
    </row>
    <row r="244" spans="1:5" s="22" customFormat="1" x14ac:dyDescent="0.35">
      <c r="A244" s="21"/>
      <c r="C244" s="23"/>
      <c r="D244" s="24"/>
      <c r="E244" s="23"/>
    </row>
    <row r="245" spans="1:5" s="22" customFormat="1" x14ac:dyDescent="0.35">
      <c r="A245" s="21"/>
      <c r="C245" s="23"/>
      <c r="D245" s="24"/>
      <c r="E245" s="23"/>
    </row>
    <row r="246" spans="1:5" s="22" customFormat="1" x14ac:dyDescent="0.35">
      <c r="A246" s="21"/>
      <c r="C246" s="23"/>
      <c r="D246" s="24"/>
      <c r="E246" s="23"/>
    </row>
    <row r="247" spans="1:5" s="22" customFormat="1" x14ac:dyDescent="0.35">
      <c r="A247" s="21"/>
      <c r="C247" s="23"/>
      <c r="D247" s="24"/>
      <c r="E247" s="23"/>
    </row>
    <row r="248" spans="1:5" s="22" customFormat="1" x14ac:dyDescent="0.35">
      <c r="A248" s="21"/>
      <c r="C248" s="23"/>
      <c r="D248" s="24"/>
      <c r="E248" s="23"/>
    </row>
    <row r="249" spans="1:5" s="22" customFormat="1" x14ac:dyDescent="0.35">
      <c r="A249" s="21"/>
      <c r="C249" s="23"/>
      <c r="D249" s="24"/>
      <c r="E249" s="23"/>
    </row>
    <row r="250" spans="1:5" s="22" customFormat="1" x14ac:dyDescent="0.35">
      <c r="A250" s="21"/>
      <c r="C250" s="23"/>
      <c r="D250" s="24"/>
      <c r="E250" s="23"/>
    </row>
    <row r="251" spans="1:5" s="22" customFormat="1" x14ac:dyDescent="0.35">
      <c r="A251" s="21"/>
      <c r="C251" s="23"/>
      <c r="D251" s="24"/>
      <c r="E251" s="23"/>
    </row>
    <row r="252" spans="1:5" s="22" customFormat="1" x14ac:dyDescent="0.35">
      <c r="A252" s="21"/>
      <c r="C252" s="23"/>
      <c r="D252" s="24"/>
      <c r="E252" s="23"/>
    </row>
    <row r="253" spans="1:5" s="22" customFormat="1" x14ac:dyDescent="0.35">
      <c r="A253" s="21"/>
      <c r="C253" s="23"/>
      <c r="D253" s="24"/>
      <c r="E253" s="23"/>
    </row>
    <row r="254" spans="1:5" s="22" customFormat="1" x14ac:dyDescent="0.35">
      <c r="A254" s="21"/>
      <c r="C254" s="23"/>
      <c r="D254" s="24"/>
      <c r="E254" s="23"/>
    </row>
    <row r="255" spans="1:5" s="22" customFormat="1" x14ac:dyDescent="0.35">
      <c r="A255" s="21"/>
      <c r="C255" s="23"/>
      <c r="D255" s="24"/>
      <c r="E255" s="23"/>
    </row>
    <row r="256" spans="1:5" s="22" customFormat="1" x14ac:dyDescent="0.35">
      <c r="A256" s="21"/>
      <c r="C256" s="23"/>
      <c r="D256" s="24"/>
      <c r="E256" s="23"/>
    </row>
    <row r="257" spans="1:5" s="22" customFormat="1" x14ac:dyDescent="0.35">
      <c r="A257" s="21"/>
      <c r="C257" s="23"/>
      <c r="D257" s="24"/>
      <c r="E257" s="23"/>
    </row>
    <row r="258" spans="1:5" s="22" customFormat="1" x14ac:dyDescent="0.35">
      <c r="A258" s="21"/>
      <c r="C258" s="23"/>
      <c r="D258" s="24"/>
      <c r="E258" s="23"/>
    </row>
    <row r="259" spans="1:5" s="22" customFormat="1" x14ac:dyDescent="0.35">
      <c r="A259" s="21"/>
      <c r="C259" s="23"/>
      <c r="D259" s="24"/>
      <c r="E259" s="23"/>
    </row>
    <row r="260" spans="1:5" s="22" customFormat="1" x14ac:dyDescent="0.35">
      <c r="A260" s="21"/>
      <c r="C260" s="23"/>
      <c r="D260" s="24"/>
      <c r="E260" s="23"/>
    </row>
    <row r="261" spans="1:5" s="22" customFormat="1" x14ac:dyDescent="0.35">
      <c r="A261" s="21"/>
      <c r="C261" s="23"/>
      <c r="D261" s="24"/>
      <c r="E261" s="23"/>
    </row>
    <row r="262" spans="1:5" s="22" customFormat="1" x14ac:dyDescent="0.35">
      <c r="A262" s="21"/>
      <c r="C262" s="23"/>
      <c r="D262" s="24"/>
      <c r="E262" s="23"/>
    </row>
    <row r="263" spans="1:5" s="22" customFormat="1" x14ac:dyDescent="0.35">
      <c r="A263" s="21"/>
      <c r="C263" s="23"/>
      <c r="D263" s="24"/>
      <c r="E263" s="23"/>
    </row>
    <row r="264" spans="1:5" s="22" customFormat="1" x14ac:dyDescent="0.35">
      <c r="A264" s="21"/>
      <c r="C264" s="23"/>
      <c r="D264" s="24"/>
      <c r="E264" s="23"/>
    </row>
    <row r="265" spans="1:5" s="22" customFormat="1" x14ac:dyDescent="0.35">
      <c r="A265" s="21"/>
      <c r="C265" s="23"/>
      <c r="D265" s="24"/>
      <c r="E265" s="23"/>
    </row>
    <row r="266" spans="1:5" s="22" customFormat="1" x14ac:dyDescent="0.35">
      <c r="A266" s="21"/>
      <c r="C266" s="23"/>
      <c r="D266" s="24"/>
      <c r="E266" s="23"/>
    </row>
    <row r="267" spans="1:5" s="22" customFormat="1" x14ac:dyDescent="0.35">
      <c r="A267" s="21"/>
      <c r="C267" s="23"/>
      <c r="D267" s="24"/>
      <c r="E267" s="23"/>
    </row>
    <row r="268" spans="1:5" s="22" customFormat="1" x14ac:dyDescent="0.35">
      <c r="A268" s="21"/>
      <c r="C268" s="23"/>
      <c r="D268" s="24"/>
      <c r="E268" s="23"/>
    </row>
    <row r="269" spans="1:5" s="22" customFormat="1" x14ac:dyDescent="0.35">
      <c r="A269" s="21"/>
      <c r="C269" s="23"/>
      <c r="D269" s="24"/>
      <c r="E269" s="23"/>
    </row>
    <row r="270" spans="1:5" s="22" customFormat="1" x14ac:dyDescent="0.35">
      <c r="A270" s="21"/>
      <c r="C270" s="23"/>
      <c r="D270" s="24"/>
      <c r="E270" s="23"/>
    </row>
    <row r="271" spans="1:5" s="22" customFormat="1" x14ac:dyDescent="0.35">
      <c r="A271" s="21"/>
      <c r="C271" s="23"/>
      <c r="D271" s="24"/>
      <c r="E271" s="23"/>
    </row>
    <row r="272" spans="1:5" s="22" customFormat="1" x14ac:dyDescent="0.35">
      <c r="A272" s="21"/>
      <c r="C272" s="23"/>
      <c r="D272" s="24"/>
      <c r="E272" s="23"/>
    </row>
    <row r="273" spans="1:5" s="22" customFormat="1" x14ac:dyDescent="0.35">
      <c r="A273" s="21"/>
      <c r="C273" s="23"/>
      <c r="D273" s="24"/>
      <c r="E273" s="23"/>
    </row>
    <row r="274" spans="1:5" s="22" customFormat="1" x14ac:dyDescent="0.35">
      <c r="A274" s="21"/>
      <c r="C274" s="23"/>
      <c r="D274" s="24"/>
      <c r="E274" s="23"/>
    </row>
    <row r="275" spans="1:5" s="22" customFormat="1" x14ac:dyDescent="0.35">
      <c r="A275" s="21"/>
      <c r="C275" s="23"/>
      <c r="D275" s="24"/>
      <c r="E275" s="23"/>
    </row>
    <row r="276" spans="1:5" s="22" customFormat="1" x14ac:dyDescent="0.35">
      <c r="A276" s="21"/>
      <c r="C276" s="23"/>
      <c r="D276" s="24"/>
      <c r="E276" s="23"/>
    </row>
    <row r="277" spans="1:5" s="22" customFormat="1" x14ac:dyDescent="0.35">
      <c r="A277" s="21"/>
      <c r="C277" s="23"/>
      <c r="D277" s="24"/>
      <c r="E277" s="23"/>
    </row>
    <row r="278" spans="1:5" s="22" customFormat="1" x14ac:dyDescent="0.35">
      <c r="A278" s="21"/>
      <c r="C278" s="23"/>
      <c r="D278" s="24"/>
      <c r="E278" s="23"/>
    </row>
    <row r="279" spans="1:5" s="22" customFormat="1" x14ac:dyDescent="0.35">
      <c r="A279" s="21"/>
      <c r="C279" s="23"/>
      <c r="D279" s="24"/>
      <c r="E279" s="23"/>
    </row>
    <row r="280" spans="1:5" s="22" customFormat="1" x14ac:dyDescent="0.35">
      <c r="A280" s="21"/>
      <c r="C280" s="23"/>
      <c r="D280" s="24"/>
      <c r="E280" s="23"/>
    </row>
    <row r="281" spans="1:5" s="22" customFormat="1" x14ac:dyDescent="0.35">
      <c r="A281" s="21"/>
      <c r="C281" s="23"/>
      <c r="D281" s="24"/>
      <c r="E281" s="23"/>
    </row>
    <row r="282" spans="1:5" s="22" customFormat="1" x14ac:dyDescent="0.35">
      <c r="A282" s="21"/>
      <c r="C282" s="23"/>
      <c r="D282" s="24"/>
      <c r="E282" s="23"/>
    </row>
    <row r="283" spans="1:5" s="22" customFormat="1" x14ac:dyDescent="0.35">
      <c r="A283" s="21"/>
      <c r="C283" s="23"/>
      <c r="D283" s="24"/>
      <c r="E283" s="23"/>
    </row>
    <row r="284" spans="1:5" s="22" customFormat="1" x14ac:dyDescent="0.35">
      <c r="A284" s="21"/>
      <c r="C284" s="23"/>
      <c r="D284" s="24"/>
      <c r="E284" s="23"/>
    </row>
    <row r="285" spans="1:5" s="22" customFormat="1" x14ac:dyDescent="0.35">
      <c r="A285" s="21"/>
      <c r="C285" s="23"/>
      <c r="D285" s="24"/>
      <c r="E285" s="23"/>
    </row>
    <row r="286" spans="1:5" s="22" customFormat="1" x14ac:dyDescent="0.35">
      <c r="A286" s="21"/>
      <c r="C286" s="23"/>
      <c r="D286" s="24"/>
      <c r="E286" s="23"/>
    </row>
    <row r="287" spans="1:5" s="22" customFormat="1" x14ac:dyDescent="0.35">
      <c r="A287" s="21"/>
      <c r="C287" s="23"/>
      <c r="D287" s="24"/>
      <c r="E287" s="23"/>
    </row>
    <row r="288" spans="1:5" s="22" customFormat="1" x14ac:dyDescent="0.35">
      <c r="A288" s="21"/>
      <c r="C288" s="23"/>
      <c r="D288" s="24"/>
      <c r="E288" s="23"/>
    </row>
    <row r="289" spans="1:5" s="22" customFormat="1" x14ac:dyDescent="0.35">
      <c r="A289" s="21"/>
      <c r="C289" s="23"/>
      <c r="D289" s="24"/>
      <c r="E289" s="23"/>
    </row>
    <row r="290" spans="1:5" s="22" customFormat="1" x14ac:dyDescent="0.35">
      <c r="A290" s="21"/>
      <c r="C290" s="23"/>
      <c r="D290" s="24"/>
      <c r="E290" s="23"/>
    </row>
    <row r="291" spans="1:5" s="22" customFormat="1" x14ac:dyDescent="0.35">
      <c r="A291" s="21"/>
      <c r="C291" s="23"/>
      <c r="D291" s="24"/>
      <c r="E291" s="23"/>
    </row>
    <row r="292" spans="1:5" s="22" customFormat="1" x14ac:dyDescent="0.35">
      <c r="A292" s="21"/>
      <c r="C292" s="23"/>
      <c r="D292" s="24"/>
      <c r="E292" s="23"/>
    </row>
    <row r="293" spans="1:5" s="22" customFormat="1" x14ac:dyDescent="0.35">
      <c r="A293" s="21"/>
      <c r="C293" s="23"/>
      <c r="D293" s="24"/>
      <c r="E293" s="23"/>
    </row>
    <row r="294" spans="1:5" s="22" customFormat="1" x14ac:dyDescent="0.35">
      <c r="A294" s="21"/>
      <c r="C294" s="23"/>
      <c r="D294" s="24"/>
      <c r="E294" s="23"/>
    </row>
    <row r="295" spans="1:5" s="22" customFormat="1" x14ac:dyDescent="0.35">
      <c r="A295" s="21"/>
      <c r="C295" s="23"/>
      <c r="D295" s="24"/>
      <c r="E295" s="23"/>
    </row>
    <row r="296" spans="1:5" s="22" customFormat="1" x14ac:dyDescent="0.35">
      <c r="A296" s="21"/>
      <c r="C296" s="23"/>
      <c r="D296" s="24"/>
      <c r="E296" s="23"/>
    </row>
    <row r="297" spans="1:5" s="22" customFormat="1" x14ac:dyDescent="0.35">
      <c r="A297" s="21"/>
      <c r="C297" s="23"/>
      <c r="D297" s="24"/>
      <c r="E297" s="23"/>
    </row>
    <row r="298" spans="1:5" s="22" customFormat="1" x14ac:dyDescent="0.35">
      <c r="A298" s="21"/>
      <c r="C298" s="23"/>
      <c r="D298" s="24"/>
      <c r="E298" s="23"/>
    </row>
    <row r="299" spans="1:5" s="22" customFormat="1" x14ac:dyDescent="0.35">
      <c r="A299" s="21"/>
      <c r="C299" s="23"/>
      <c r="D299" s="24"/>
      <c r="E299" s="23"/>
    </row>
    <row r="300" spans="1:5" s="22" customFormat="1" x14ac:dyDescent="0.35">
      <c r="A300" s="21"/>
      <c r="C300" s="23"/>
      <c r="D300" s="24"/>
      <c r="E300" s="23"/>
    </row>
    <row r="301" spans="1:5" s="22" customFormat="1" x14ac:dyDescent="0.35">
      <c r="A301" s="21"/>
      <c r="C301" s="23"/>
      <c r="D301" s="24"/>
      <c r="E301" s="23"/>
    </row>
    <row r="302" spans="1:5" s="22" customFormat="1" x14ac:dyDescent="0.35">
      <c r="A302" s="21"/>
      <c r="C302" s="23"/>
      <c r="D302" s="24"/>
      <c r="E302" s="23"/>
    </row>
    <row r="303" spans="1:5" s="22" customFormat="1" x14ac:dyDescent="0.35">
      <c r="A303" s="21"/>
      <c r="C303" s="23"/>
      <c r="D303" s="24"/>
      <c r="E303" s="23"/>
    </row>
    <row r="304" spans="1:5" s="22" customFormat="1" x14ac:dyDescent="0.35">
      <c r="A304" s="21"/>
      <c r="C304" s="23"/>
      <c r="D304" s="24"/>
      <c r="E304" s="23"/>
    </row>
    <row r="305" spans="1:5" s="22" customFormat="1" x14ac:dyDescent="0.35">
      <c r="A305" s="21"/>
      <c r="C305" s="23"/>
      <c r="D305" s="24"/>
      <c r="E305" s="23"/>
    </row>
    <row r="306" spans="1:5" s="22" customFormat="1" x14ac:dyDescent="0.35">
      <c r="A306" s="21"/>
      <c r="C306" s="23"/>
      <c r="D306" s="24"/>
      <c r="E306" s="23"/>
    </row>
    <row r="307" spans="1:5" s="22" customFormat="1" x14ac:dyDescent="0.35">
      <c r="A307" s="21"/>
      <c r="C307" s="23"/>
      <c r="D307" s="24"/>
      <c r="E307" s="23"/>
    </row>
    <row r="308" spans="1:5" s="22" customFormat="1" x14ac:dyDescent="0.35">
      <c r="A308" s="21"/>
      <c r="C308" s="23"/>
      <c r="D308" s="24"/>
      <c r="E308" s="23"/>
    </row>
    <row r="309" spans="1:5" s="22" customFormat="1" x14ac:dyDescent="0.35">
      <c r="A309" s="21"/>
      <c r="C309" s="23"/>
      <c r="D309" s="24"/>
      <c r="E309" s="23"/>
    </row>
    <row r="310" spans="1:5" s="22" customFormat="1" x14ac:dyDescent="0.35">
      <c r="A310" s="21"/>
      <c r="C310" s="23"/>
      <c r="D310" s="24"/>
      <c r="E310" s="23"/>
    </row>
    <row r="311" spans="1:5" s="22" customFormat="1" x14ac:dyDescent="0.35">
      <c r="A311" s="21"/>
      <c r="C311" s="23"/>
      <c r="D311" s="24"/>
      <c r="E311" s="23"/>
    </row>
    <row r="312" spans="1:5" s="22" customFormat="1" x14ac:dyDescent="0.35">
      <c r="A312" s="21"/>
      <c r="C312" s="23"/>
      <c r="D312" s="24"/>
      <c r="E312" s="23"/>
    </row>
    <row r="313" spans="1:5" s="22" customFormat="1" x14ac:dyDescent="0.35">
      <c r="A313" s="21"/>
      <c r="C313" s="23"/>
      <c r="D313" s="24"/>
      <c r="E313" s="23"/>
    </row>
    <row r="314" spans="1:5" s="22" customFormat="1" x14ac:dyDescent="0.35">
      <c r="A314" s="21"/>
      <c r="C314" s="23"/>
      <c r="D314" s="24"/>
      <c r="E314" s="23"/>
    </row>
    <row r="315" spans="1:5" s="22" customFormat="1" x14ac:dyDescent="0.35">
      <c r="A315" s="21"/>
      <c r="C315" s="23"/>
      <c r="D315" s="24"/>
      <c r="E315" s="23"/>
    </row>
    <row r="316" spans="1:5" s="22" customFormat="1" x14ac:dyDescent="0.35">
      <c r="A316" s="21"/>
      <c r="C316" s="23"/>
      <c r="D316" s="24"/>
      <c r="E316" s="23"/>
    </row>
    <row r="317" spans="1:5" s="22" customFormat="1" x14ac:dyDescent="0.35">
      <c r="A317" s="21"/>
      <c r="C317" s="23"/>
      <c r="D317" s="24"/>
      <c r="E317" s="23"/>
    </row>
    <row r="318" spans="1:5" s="22" customFormat="1" x14ac:dyDescent="0.35">
      <c r="A318" s="21"/>
      <c r="C318" s="23"/>
      <c r="D318" s="24"/>
      <c r="E318" s="23"/>
    </row>
    <row r="319" spans="1:5" s="22" customFormat="1" x14ac:dyDescent="0.35">
      <c r="A319" s="21"/>
      <c r="C319" s="23"/>
      <c r="D319" s="24"/>
      <c r="E319" s="23"/>
    </row>
    <row r="320" spans="1:5" s="22" customFormat="1" x14ac:dyDescent="0.35">
      <c r="A320" s="21"/>
      <c r="C320" s="23"/>
      <c r="D320" s="24"/>
      <c r="E320" s="23"/>
    </row>
    <row r="321" spans="1:5" s="22" customFormat="1" x14ac:dyDescent="0.35">
      <c r="A321" s="21"/>
      <c r="C321" s="23"/>
      <c r="D321" s="24"/>
      <c r="E321" s="23"/>
    </row>
    <row r="322" spans="1:5" s="22" customFormat="1" x14ac:dyDescent="0.35">
      <c r="A322" s="21"/>
      <c r="C322" s="23"/>
      <c r="D322" s="24"/>
      <c r="E322" s="23"/>
    </row>
    <row r="323" spans="1:5" s="22" customFormat="1" x14ac:dyDescent="0.35">
      <c r="A323" s="21"/>
      <c r="C323" s="23"/>
      <c r="D323" s="24"/>
      <c r="E323" s="23"/>
    </row>
    <row r="324" spans="1:5" s="22" customFormat="1" x14ac:dyDescent="0.35">
      <c r="A324" s="21"/>
      <c r="C324" s="23"/>
      <c r="D324" s="24"/>
      <c r="E324" s="23"/>
    </row>
    <row r="325" spans="1:5" s="22" customFormat="1" x14ac:dyDescent="0.35">
      <c r="A325" s="21"/>
      <c r="C325" s="23"/>
      <c r="D325" s="24"/>
      <c r="E325" s="23"/>
    </row>
    <row r="326" spans="1:5" s="22" customFormat="1" x14ac:dyDescent="0.35">
      <c r="A326" s="21"/>
      <c r="C326" s="23"/>
      <c r="D326" s="24"/>
      <c r="E326" s="23"/>
    </row>
    <row r="327" spans="1:5" s="22" customFormat="1" x14ac:dyDescent="0.35">
      <c r="A327" s="21"/>
      <c r="C327" s="23"/>
      <c r="D327" s="24"/>
      <c r="E327" s="23"/>
    </row>
    <row r="328" spans="1:5" s="22" customFormat="1" x14ac:dyDescent="0.35">
      <c r="A328" s="21"/>
      <c r="C328" s="23"/>
      <c r="D328" s="24"/>
      <c r="E328" s="23"/>
    </row>
    <row r="329" spans="1:5" s="22" customFormat="1" x14ac:dyDescent="0.35">
      <c r="A329" s="21"/>
      <c r="C329" s="23"/>
      <c r="D329" s="24"/>
      <c r="E329" s="23"/>
    </row>
    <row r="330" spans="1:5" s="22" customFormat="1" x14ac:dyDescent="0.35">
      <c r="A330" s="21"/>
      <c r="C330" s="23"/>
      <c r="D330" s="24"/>
      <c r="E330" s="23"/>
    </row>
    <row r="331" spans="1:5" s="22" customFormat="1" x14ac:dyDescent="0.35">
      <c r="A331" s="21"/>
      <c r="C331" s="23"/>
      <c r="D331" s="24"/>
      <c r="E331" s="23"/>
    </row>
    <row r="332" spans="1:5" s="22" customFormat="1" x14ac:dyDescent="0.35">
      <c r="A332" s="21"/>
      <c r="C332" s="23"/>
      <c r="D332" s="24"/>
      <c r="E332" s="23"/>
    </row>
    <row r="333" spans="1:5" s="22" customFormat="1" x14ac:dyDescent="0.35">
      <c r="A333" s="21"/>
      <c r="C333" s="23"/>
      <c r="D333" s="24"/>
      <c r="E333" s="23"/>
    </row>
    <row r="334" spans="1:5" s="22" customFormat="1" x14ac:dyDescent="0.35">
      <c r="A334" s="21"/>
      <c r="C334" s="23"/>
      <c r="D334" s="24"/>
      <c r="E334" s="23"/>
    </row>
    <row r="335" spans="1:5" s="22" customFormat="1" x14ac:dyDescent="0.35">
      <c r="A335" s="21"/>
      <c r="C335" s="23"/>
      <c r="D335" s="24"/>
      <c r="E335" s="23"/>
    </row>
    <row r="336" spans="1:5" s="22" customFormat="1" x14ac:dyDescent="0.35">
      <c r="A336" s="21"/>
      <c r="C336" s="23"/>
      <c r="D336" s="24"/>
      <c r="E336" s="23"/>
    </row>
    <row r="337" spans="1:5" s="22" customFormat="1" x14ac:dyDescent="0.35">
      <c r="A337" s="21"/>
      <c r="C337" s="23"/>
      <c r="D337" s="24"/>
      <c r="E337" s="23"/>
    </row>
    <row r="338" spans="1:5" s="22" customFormat="1" x14ac:dyDescent="0.35">
      <c r="A338" s="21"/>
      <c r="C338" s="23"/>
      <c r="D338" s="24"/>
      <c r="E338" s="23"/>
    </row>
    <row r="339" spans="1:5" s="22" customFormat="1" x14ac:dyDescent="0.35">
      <c r="A339" s="21"/>
      <c r="C339" s="23"/>
      <c r="D339" s="24"/>
      <c r="E339" s="23"/>
    </row>
    <row r="340" spans="1:5" s="22" customFormat="1" x14ac:dyDescent="0.35">
      <c r="A340" s="21"/>
      <c r="C340" s="23"/>
      <c r="D340" s="24"/>
      <c r="E340" s="23"/>
    </row>
    <row r="341" spans="1:5" s="22" customFormat="1" x14ac:dyDescent="0.35">
      <c r="A341" s="21"/>
      <c r="C341" s="23"/>
      <c r="D341" s="24"/>
      <c r="E341" s="23"/>
    </row>
    <row r="342" spans="1:5" s="22" customFormat="1" x14ac:dyDescent="0.35">
      <c r="A342" s="21"/>
      <c r="C342" s="23"/>
      <c r="D342" s="24"/>
      <c r="E342" s="23"/>
    </row>
    <row r="343" spans="1:5" s="22" customFormat="1" x14ac:dyDescent="0.35">
      <c r="A343" s="21"/>
      <c r="C343" s="23"/>
      <c r="D343" s="24"/>
      <c r="E343" s="23"/>
    </row>
    <row r="344" spans="1:5" s="22" customFormat="1" x14ac:dyDescent="0.35">
      <c r="A344" s="21"/>
      <c r="C344" s="23"/>
      <c r="D344" s="24"/>
      <c r="E344" s="23"/>
    </row>
    <row r="345" spans="1:5" s="22" customFormat="1" x14ac:dyDescent="0.35">
      <c r="A345" s="21"/>
      <c r="C345" s="23"/>
      <c r="D345" s="24"/>
      <c r="E345" s="23"/>
    </row>
    <row r="346" spans="1:5" s="22" customFormat="1" x14ac:dyDescent="0.35">
      <c r="A346" s="21"/>
      <c r="C346" s="23"/>
      <c r="D346" s="24"/>
      <c r="E346" s="23"/>
    </row>
    <row r="347" spans="1:5" s="22" customFormat="1" x14ac:dyDescent="0.35">
      <c r="A347" s="21"/>
      <c r="C347" s="23"/>
      <c r="D347" s="24"/>
      <c r="E347" s="23"/>
    </row>
    <row r="348" spans="1:5" s="22" customFormat="1" x14ac:dyDescent="0.35">
      <c r="A348" s="21"/>
      <c r="C348" s="23"/>
      <c r="D348" s="24"/>
      <c r="E348" s="23"/>
    </row>
    <row r="349" spans="1:5" s="22" customFormat="1" x14ac:dyDescent="0.35">
      <c r="A349" s="21"/>
      <c r="C349" s="23"/>
      <c r="D349" s="24"/>
      <c r="E349" s="23"/>
    </row>
    <row r="350" spans="1:5" s="22" customFormat="1" x14ac:dyDescent="0.35">
      <c r="A350" s="21"/>
      <c r="C350" s="23"/>
      <c r="D350" s="24"/>
      <c r="E350" s="23"/>
    </row>
    <row r="351" spans="1:5" s="22" customFormat="1" x14ac:dyDescent="0.35">
      <c r="A351" s="21"/>
      <c r="C351" s="23"/>
      <c r="D351" s="24"/>
      <c r="E351" s="23"/>
    </row>
    <row r="352" spans="1:5" s="22" customFormat="1" x14ac:dyDescent="0.35">
      <c r="A352" s="21"/>
      <c r="C352" s="23"/>
      <c r="D352" s="24"/>
      <c r="E352" s="23"/>
    </row>
    <row r="353" spans="1:5" s="22" customFormat="1" x14ac:dyDescent="0.35">
      <c r="A353" s="21"/>
      <c r="C353" s="23"/>
      <c r="D353" s="24"/>
      <c r="E353" s="23"/>
    </row>
    <row r="354" spans="1:5" s="22" customFormat="1" x14ac:dyDescent="0.35">
      <c r="A354" s="21"/>
      <c r="C354" s="23"/>
      <c r="D354" s="24"/>
      <c r="E354" s="23"/>
    </row>
    <row r="355" spans="1:5" s="22" customFormat="1" x14ac:dyDescent="0.35">
      <c r="A355" s="21"/>
      <c r="C355" s="23"/>
      <c r="D355" s="24"/>
      <c r="E355" s="23"/>
    </row>
    <row r="356" spans="1:5" s="22" customFormat="1" x14ac:dyDescent="0.35">
      <c r="A356" s="21"/>
      <c r="C356" s="23"/>
      <c r="D356" s="24"/>
      <c r="E356" s="23"/>
    </row>
    <row r="357" spans="1:5" s="22" customFormat="1" x14ac:dyDescent="0.35">
      <c r="A357" s="21"/>
      <c r="C357" s="23"/>
      <c r="D357" s="24"/>
      <c r="E357" s="23"/>
    </row>
    <row r="358" spans="1:5" s="22" customFormat="1" x14ac:dyDescent="0.35">
      <c r="A358" s="21"/>
      <c r="C358" s="23"/>
      <c r="D358" s="24"/>
      <c r="E358" s="23"/>
    </row>
    <row r="359" spans="1:5" s="22" customFormat="1" x14ac:dyDescent="0.35">
      <c r="A359" s="21"/>
      <c r="C359" s="23"/>
      <c r="D359" s="24"/>
      <c r="E359" s="23"/>
    </row>
    <row r="360" spans="1:5" s="22" customFormat="1" x14ac:dyDescent="0.35">
      <c r="A360" s="21"/>
      <c r="C360" s="23"/>
      <c r="D360" s="24"/>
      <c r="E360" s="23"/>
    </row>
    <row r="361" spans="1:5" s="22" customFormat="1" x14ac:dyDescent="0.35">
      <c r="A361" s="21"/>
      <c r="C361" s="23"/>
      <c r="D361" s="24"/>
      <c r="E361" s="23"/>
    </row>
    <row r="362" spans="1:5" s="22" customFormat="1" x14ac:dyDescent="0.35">
      <c r="A362" s="21"/>
      <c r="C362" s="23"/>
      <c r="D362" s="24"/>
      <c r="E362" s="23"/>
    </row>
    <row r="363" spans="1:5" s="22" customFormat="1" x14ac:dyDescent="0.35">
      <c r="A363" s="21"/>
      <c r="C363" s="23"/>
      <c r="D363" s="24"/>
      <c r="E363" s="23"/>
    </row>
    <row r="364" spans="1:5" s="22" customFormat="1" x14ac:dyDescent="0.35">
      <c r="A364" s="21"/>
      <c r="C364" s="23"/>
      <c r="D364" s="24"/>
      <c r="E364" s="23"/>
    </row>
    <row r="365" spans="1:5" s="22" customFormat="1" x14ac:dyDescent="0.35">
      <c r="A365" s="21"/>
      <c r="C365" s="23"/>
      <c r="D365" s="24"/>
      <c r="E365" s="23"/>
    </row>
    <row r="366" spans="1:5" s="22" customFormat="1" x14ac:dyDescent="0.35">
      <c r="A366" s="21"/>
      <c r="C366" s="23"/>
      <c r="D366" s="24"/>
      <c r="E366" s="23"/>
    </row>
    <row r="367" spans="1:5" s="22" customFormat="1" x14ac:dyDescent="0.35">
      <c r="A367" s="21"/>
      <c r="C367" s="23"/>
      <c r="D367" s="24"/>
      <c r="E367" s="23"/>
    </row>
    <row r="368" spans="1:5" s="22" customFormat="1" x14ac:dyDescent="0.35">
      <c r="A368" s="21"/>
      <c r="C368" s="23"/>
      <c r="D368" s="24"/>
      <c r="E368" s="23"/>
    </row>
    <row r="369" spans="1:5" s="22" customFormat="1" x14ac:dyDescent="0.35">
      <c r="A369" s="21"/>
      <c r="C369" s="23"/>
      <c r="D369" s="24"/>
      <c r="E369" s="23"/>
    </row>
    <row r="370" spans="1:5" s="22" customFormat="1" x14ac:dyDescent="0.35">
      <c r="A370" s="21"/>
      <c r="C370" s="23"/>
      <c r="D370" s="24"/>
      <c r="E370" s="23"/>
    </row>
    <row r="371" spans="1:5" s="22" customFormat="1" x14ac:dyDescent="0.35">
      <c r="A371" s="21"/>
      <c r="C371" s="23"/>
      <c r="D371" s="24"/>
      <c r="E371" s="23"/>
    </row>
    <row r="372" spans="1:5" s="22" customFormat="1" x14ac:dyDescent="0.35">
      <c r="A372" s="21"/>
      <c r="C372" s="23"/>
      <c r="D372" s="24"/>
      <c r="E372" s="23"/>
    </row>
    <row r="373" spans="1:5" s="22" customFormat="1" x14ac:dyDescent="0.35">
      <c r="A373" s="21"/>
      <c r="C373" s="23"/>
      <c r="D373" s="24"/>
      <c r="E373" s="23"/>
    </row>
    <row r="374" spans="1:5" s="22" customFormat="1" x14ac:dyDescent="0.35">
      <c r="A374" s="21"/>
      <c r="C374" s="23"/>
      <c r="D374" s="24"/>
      <c r="E374" s="23"/>
    </row>
    <row r="375" spans="1:5" s="22" customFormat="1" x14ac:dyDescent="0.35">
      <c r="A375" s="21"/>
      <c r="C375" s="23"/>
      <c r="D375" s="24"/>
      <c r="E375" s="23"/>
    </row>
    <row r="376" spans="1:5" s="22" customFormat="1" x14ac:dyDescent="0.35">
      <c r="A376" s="21"/>
      <c r="C376" s="23"/>
      <c r="D376" s="24"/>
      <c r="E376" s="23"/>
    </row>
    <row r="377" spans="1:5" s="22" customFormat="1" x14ac:dyDescent="0.35">
      <c r="A377" s="21"/>
      <c r="C377" s="23"/>
      <c r="D377" s="24"/>
      <c r="E377" s="23"/>
    </row>
    <row r="378" spans="1:5" s="22" customFormat="1" x14ac:dyDescent="0.35">
      <c r="A378" s="21"/>
      <c r="C378" s="23"/>
      <c r="D378" s="24"/>
      <c r="E378" s="23"/>
    </row>
    <row r="379" spans="1:5" s="22" customFormat="1" x14ac:dyDescent="0.35">
      <c r="A379" s="21"/>
      <c r="C379" s="23"/>
      <c r="D379" s="24"/>
      <c r="E379" s="23"/>
    </row>
    <row r="380" spans="1:5" s="22" customFormat="1" x14ac:dyDescent="0.35">
      <c r="A380" s="21"/>
      <c r="C380" s="23"/>
      <c r="D380" s="24"/>
      <c r="E380" s="23"/>
    </row>
    <row r="381" spans="1:5" s="22" customFormat="1" x14ac:dyDescent="0.35">
      <c r="A381" s="21"/>
      <c r="C381" s="23"/>
      <c r="D381" s="24"/>
      <c r="E381" s="23"/>
    </row>
    <row r="382" spans="1:5" s="22" customFormat="1" x14ac:dyDescent="0.35">
      <c r="A382" s="21"/>
      <c r="C382" s="23"/>
      <c r="D382" s="24"/>
      <c r="E382" s="23"/>
    </row>
    <row r="383" spans="1:5" s="22" customFormat="1" x14ac:dyDescent="0.35">
      <c r="A383" s="21"/>
      <c r="C383" s="23"/>
      <c r="D383" s="24"/>
      <c r="E383" s="23"/>
    </row>
    <row r="384" spans="1:5" s="22" customFormat="1" x14ac:dyDescent="0.35">
      <c r="A384" s="21"/>
      <c r="C384" s="23"/>
      <c r="D384" s="24"/>
      <c r="E384" s="23"/>
    </row>
    <row r="385" spans="1:5" s="22" customFormat="1" x14ac:dyDescent="0.35">
      <c r="A385" s="21"/>
      <c r="C385" s="23"/>
      <c r="D385" s="24"/>
      <c r="E385" s="23"/>
    </row>
    <row r="386" spans="1:5" s="22" customFormat="1" x14ac:dyDescent="0.35">
      <c r="A386" s="21"/>
      <c r="C386" s="23"/>
      <c r="D386" s="24"/>
      <c r="E386" s="23"/>
    </row>
    <row r="387" spans="1:5" s="22" customFormat="1" x14ac:dyDescent="0.35">
      <c r="A387" s="21"/>
      <c r="C387" s="23"/>
      <c r="D387" s="24"/>
      <c r="E387" s="23"/>
    </row>
    <row r="388" spans="1:5" s="22" customFormat="1" x14ac:dyDescent="0.35">
      <c r="A388" s="21"/>
      <c r="C388" s="23"/>
      <c r="D388" s="24"/>
      <c r="E388" s="23"/>
    </row>
    <row r="389" spans="1:5" s="22" customFormat="1" x14ac:dyDescent="0.35">
      <c r="A389" s="21"/>
      <c r="C389" s="23"/>
      <c r="D389" s="24"/>
      <c r="E389" s="23"/>
    </row>
    <row r="390" spans="1:5" s="22" customFormat="1" x14ac:dyDescent="0.35">
      <c r="A390" s="21"/>
      <c r="C390" s="23"/>
      <c r="D390" s="24"/>
      <c r="E390" s="23"/>
    </row>
    <row r="391" spans="1:5" s="22" customFormat="1" x14ac:dyDescent="0.35">
      <c r="A391" s="21"/>
      <c r="C391" s="23"/>
      <c r="D391" s="24"/>
      <c r="E391" s="23"/>
    </row>
    <row r="392" spans="1:5" s="22" customFormat="1" x14ac:dyDescent="0.35">
      <c r="A392" s="21"/>
      <c r="C392" s="23"/>
      <c r="D392" s="24"/>
      <c r="E392" s="23"/>
    </row>
    <row r="393" spans="1:5" s="22" customFormat="1" x14ac:dyDescent="0.35">
      <c r="A393" s="21"/>
      <c r="C393" s="23"/>
      <c r="D393" s="24"/>
      <c r="E393" s="23"/>
    </row>
    <row r="394" spans="1:5" s="22" customFormat="1" x14ac:dyDescent="0.35">
      <c r="A394" s="21"/>
      <c r="C394" s="23"/>
      <c r="D394" s="24"/>
      <c r="E394" s="23"/>
    </row>
    <row r="395" spans="1:5" s="22" customFormat="1" x14ac:dyDescent="0.35">
      <c r="A395" s="21"/>
      <c r="C395" s="23"/>
      <c r="D395" s="24"/>
      <c r="E395" s="23"/>
    </row>
    <row r="396" spans="1:5" s="22" customFormat="1" x14ac:dyDescent="0.35">
      <c r="A396" s="21"/>
      <c r="C396" s="23"/>
      <c r="D396" s="24"/>
      <c r="E396" s="23"/>
    </row>
    <row r="397" spans="1:5" s="22" customFormat="1" x14ac:dyDescent="0.35">
      <c r="A397" s="21"/>
      <c r="C397" s="23"/>
      <c r="D397" s="24"/>
      <c r="E397" s="23"/>
    </row>
    <row r="398" spans="1:5" s="22" customFormat="1" x14ac:dyDescent="0.35">
      <c r="A398" s="21"/>
      <c r="C398" s="23"/>
      <c r="D398" s="24"/>
      <c r="E398" s="23"/>
    </row>
    <row r="399" spans="1:5" s="22" customFormat="1" x14ac:dyDescent="0.35">
      <c r="A399" s="21"/>
      <c r="C399" s="23"/>
      <c r="D399" s="24"/>
      <c r="E399" s="23"/>
    </row>
    <row r="400" spans="1:5" s="22" customFormat="1" x14ac:dyDescent="0.35">
      <c r="A400" s="21"/>
      <c r="C400" s="23"/>
      <c r="D400" s="24"/>
      <c r="E400" s="23"/>
    </row>
    <row r="401" spans="1:5" s="22" customFormat="1" x14ac:dyDescent="0.35">
      <c r="A401" s="21"/>
      <c r="C401" s="23"/>
      <c r="D401" s="24"/>
      <c r="E401" s="23"/>
    </row>
    <row r="402" spans="1:5" s="22" customFormat="1" x14ac:dyDescent="0.35">
      <c r="A402" s="21"/>
      <c r="C402" s="23"/>
      <c r="D402" s="24"/>
      <c r="E402" s="23"/>
    </row>
    <row r="403" spans="1:5" s="22" customFormat="1" x14ac:dyDescent="0.35">
      <c r="A403" s="21"/>
      <c r="C403" s="23"/>
      <c r="D403" s="24"/>
      <c r="E403" s="23"/>
    </row>
    <row r="404" spans="1:5" s="22" customFormat="1" x14ac:dyDescent="0.35">
      <c r="A404" s="21"/>
      <c r="C404" s="23"/>
      <c r="D404" s="24"/>
      <c r="E404" s="23"/>
    </row>
    <row r="405" spans="1:5" s="22" customFormat="1" x14ac:dyDescent="0.35">
      <c r="A405" s="21"/>
      <c r="C405" s="23"/>
      <c r="D405" s="24"/>
      <c r="E405" s="23"/>
    </row>
    <row r="406" spans="1:5" s="22" customFormat="1" x14ac:dyDescent="0.35">
      <c r="A406" s="21"/>
      <c r="C406" s="23"/>
      <c r="D406" s="24"/>
      <c r="E406" s="23"/>
    </row>
    <row r="407" spans="1:5" s="22" customFormat="1" x14ac:dyDescent="0.35">
      <c r="A407" s="21"/>
      <c r="C407" s="23"/>
      <c r="D407" s="24"/>
      <c r="E407" s="23"/>
    </row>
    <row r="408" spans="1:5" s="22" customFormat="1" x14ac:dyDescent="0.35">
      <c r="A408" s="21"/>
      <c r="C408" s="23"/>
      <c r="D408" s="24"/>
      <c r="E408" s="23"/>
    </row>
    <row r="409" spans="1:5" s="22" customFormat="1" x14ac:dyDescent="0.35">
      <c r="A409" s="21"/>
      <c r="C409" s="23"/>
      <c r="D409" s="24"/>
      <c r="E409" s="23"/>
    </row>
    <row r="410" spans="1:5" s="22" customFormat="1" x14ac:dyDescent="0.35">
      <c r="A410" s="21"/>
      <c r="C410" s="23"/>
      <c r="D410" s="24"/>
      <c r="E410" s="23"/>
    </row>
    <row r="411" spans="1:5" s="22" customFormat="1" x14ac:dyDescent="0.35">
      <c r="A411" s="21"/>
      <c r="C411" s="23"/>
      <c r="D411" s="24"/>
      <c r="E411" s="23"/>
    </row>
    <row r="412" spans="1:5" s="22" customFormat="1" x14ac:dyDescent="0.35">
      <c r="A412" s="21"/>
      <c r="C412" s="23"/>
      <c r="D412" s="24"/>
      <c r="E412" s="23"/>
    </row>
    <row r="413" spans="1:5" s="22" customFormat="1" x14ac:dyDescent="0.35">
      <c r="A413" s="21"/>
      <c r="C413" s="23"/>
      <c r="D413" s="24"/>
      <c r="E413" s="23"/>
    </row>
    <row r="414" spans="1:5" s="22" customFormat="1" x14ac:dyDescent="0.35">
      <c r="A414" s="21"/>
      <c r="C414" s="23"/>
      <c r="D414" s="24"/>
      <c r="E414" s="23"/>
    </row>
    <row r="415" spans="1:5" s="22" customFormat="1" x14ac:dyDescent="0.35">
      <c r="A415" s="21"/>
      <c r="C415" s="23"/>
      <c r="D415" s="24"/>
      <c r="E415" s="23"/>
    </row>
    <row r="416" spans="1:5" s="22" customFormat="1" x14ac:dyDescent="0.35">
      <c r="A416" s="21"/>
      <c r="C416" s="23"/>
      <c r="D416" s="24"/>
      <c r="E416" s="23"/>
    </row>
    <row r="417" spans="1:5" s="22" customFormat="1" x14ac:dyDescent="0.35">
      <c r="A417" s="21"/>
      <c r="C417" s="23"/>
      <c r="D417" s="24"/>
      <c r="E417" s="23"/>
    </row>
    <row r="418" spans="1:5" s="22" customFormat="1" x14ac:dyDescent="0.35">
      <c r="A418" s="21"/>
      <c r="C418" s="23"/>
      <c r="D418" s="24"/>
      <c r="E418" s="23"/>
    </row>
    <row r="419" spans="1:5" s="22" customFormat="1" x14ac:dyDescent="0.35">
      <c r="A419" s="21"/>
      <c r="C419" s="23"/>
      <c r="D419" s="24"/>
      <c r="E419" s="23"/>
    </row>
    <row r="420" spans="1:5" s="22" customFormat="1" x14ac:dyDescent="0.35">
      <c r="A420" s="21"/>
      <c r="C420" s="23"/>
      <c r="D420" s="24"/>
      <c r="E420" s="23"/>
    </row>
    <row r="421" spans="1:5" s="22" customFormat="1" x14ac:dyDescent="0.35">
      <c r="A421" s="21"/>
      <c r="C421" s="23"/>
      <c r="D421" s="24"/>
      <c r="E421" s="23"/>
    </row>
    <row r="422" spans="1:5" s="22" customFormat="1" x14ac:dyDescent="0.35">
      <c r="A422" s="21"/>
      <c r="C422" s="23"/>
      <c r="D422" s="24"/>
      <c r="E422" s="23"/>
    </row>
    <row r="423" spans="1:5" s="22" customFormat="1" x14ac:dyDescent="0.35">
      <c r="A423" s="21"/>
      <c r="C423" s="23"/>
      <c r="D423" s="24"/>
      <c r="E423" s="23"/>
    </row>
    <row r="424" spans="1:5" s="22" customFormat="1" x14ac:dyDescent="0.35">
      <c r="A424" s="21"/>
      <c r="C424" s="23"/>
      <c r="D424" s="24"/>
      <c r="E424" s="23"/>
    </row>
    <row r="425" spans="1:5" s="22" customFormat="1" x14ac:dyDescent="0.35">
      <c r="A425" s="21"/>
      <c r="C425" s="23"/>
      <c r="D425" s="24"/>
      <c r="E425" s="23"/>
    </row>
    <row r="426" spans="1:5" s="22" customFormat="1" x14ac:dyDescent="0.35">
      <c r="A426" s="21"/>
      <c r="C426" s="23"/>
      <c r="D426" s="24"/>
      <c r="E426" s="23"/>
    </row>
    <row r="427" spans="1:5" s="22" customFormat="1" x14ac:dyDescent="0.35">
      <c r="A427" s="21"/>
      <c r="C427" s="23"/>
      <c r="D427" s="24"/>
      <c r="E427" s="23"/>
    </row>
    <row r="428" spans="1:5" s="22" customFormat="1" x14ac:dyDescent="0.35">
      <c r="A428" s="21"/>
      <c r="C428" s="23"/>
      <c r="D428" s="24"/>
      <c r="E428" s="23"/>
    </row>
    <row r="429" spans="1:5" s="22" customFormat="1" x14ac:dyDescent="0.35">
      <c r="A429" s="21"/>
      <c r="C429" s="23"/>
      <c r="D429" s="24"/>
      <c r="E429" s="23"/>
    </row>
    <row r="430" spans="1:5" s="22" customFormat="1" x14ac:dyDescent="0.35">
      <c r="A430" s="21"/>
      <c r="C430" s="23"/>
      <c r="D430" s="24"/>
      <c r="E430" s="23"/>
    </row>
    <row r="431" spans="1:5" s="22" customFormat="1" x14ac:dyDescent="0.35">
      <c r="A431" s="21"/>
      <c r="C431" s="23"/>
      <c r="D431" s="24"/>
      <c r="E431" s="23"/>
    </row>
    <row r="432" spans="1:5" s="22" customFormat="1" x14ac:dyDescent="0.35">
      <c r="A432" s="21"/>
      <c r="C432" s="23"/>
      <c r="D432" s="24"/>
      <c r="E432" s="23"/>
    </row>
    <row r="433" spans="1:5" s="22" customFormat="1" x14ac:dyDescent="0.35">
      <c r="A433" s="21"/>
      <c r="C433" s="23"/>
      <c r="D433" s="24"/>
      <c r="E433" s="23"/>
    </row>
    <row r="434" spans="1:5" s="22" customFormat="1" x14ac:dyDescent="0.35">
      <c r="A434" s="21"/>
      <c r="C434" s="23"/>
      <c r="D434" s="24"/>
      <c r="E434" s="23"/>
    </row>
    <row r="435" spans="1:5" s="22" customFormat="1" x14ac:dyDescent="0.35">
      <c r="A435" s="21"/>
      <c r="C435" s="23"/>
      <c r="D435" s="24"/>
      <c r="E435" s="23"/>
    </row>
    <row r="436" spans="1:5" s="22" customFormat="1" x14ac:dyDescent="0.35">
      <c r="A436" s="21"/>
      <c r="C436" s="23"/>
      <c r="D436" s="24"/>
      <c r="E436" s="23"/>
    </row>
    <row r="437" spans="1:5" s="22" customFormat="1" x14ac:dyDescent="0.35">
      <c r="A437" s="21"/>
      <c r="C437" s="23"/>
      <c r="D437" s="24"/>
      <c r="E437" s="23"/>
    </row>
    <row r="438" spans="1:5" s="22" customFormat="1" x14ac:dyDescent="0.35">
      <c r="A438" s="21"/>
      <c r="C438" s="23"/>
      <c r="D438" s="24"/>
      <c r="E438" s="23"/>
    </row>
    <row r="439" spans="1:5" s="22" customFormat="1" x14ac:dyDescent="0.35">
      <c r="A439" s="21"/>
      <c r="C439" s="23"/>
      <c r="D439" s="24"/>
      <c r="E439" s="23"/>
    </row>
    <row r="440" spans="1:5" s="22" customFormat="1" x14ac:dyDescent="0.35">
      <c r="A440" s="21"/>
      <c r="C440" s="23"/>
      <c r="D440" s="24"/>
      <c r="E440" s="23"/>
    </row>
    <row r="441" spans="1:5" s="22" customFormat="1" x14ac:dyDescent="0.35">
      <c r="A441" s="21"/>
      <c r="C441" s="23"/>
      <c r="D441" s="24"/>
      <c r="E441" s="23"/>
    </row>
    <row r="442" spans="1:5" s="22" customFormat="1" x14ac:dyDescent="0.35">
      <c r="A442" s="21"/>
      <c r="C442" s="23"/>
      <c r="D442" s="24"/>
      <c r="E442" s="23"/>
    </row>
    <row r="443" spans="1:5" s="22" customFormat="1" x14ac:dyDescent="0.35">
      <c r="A443" s="21"/>
      <c r="C443" s="23"/>
      <c r="D443" s="24"/>
      <c r="E443" s="23"/>
    </row>
    <row r="444" spans="1:5" s="22" customFormat="1" x14ac:dyDescent="0.35">
      <c r="A444" s="21"/>
      <c r="C444" s="23"/>
      <c r="D444" s="24"/>
      <c r="E444" s="23"/>
    </row>
    <row r="445" spans="1:5" s="22" customFormat="1" x14ac:dyDescent="0.35">
      <c r="A445" s="21"/>
      <c r="C445" s="23"/>
      <c r="D445" s="24"/>
      <c r="E445" s="23"/>
    </row>
    <row r="446" spans="1:5" s="22" customFormat="1" x14ac:dyDescent="0.35">
      <c r="A446" s="21"/>
      <c r="C446" s="23"/>
      <c r="D446" s="24"/>
      <c r="E446" s="23"/>
    </row>
    <row r="447" spans="1:5" s="22" customFormat="1" x14ac:dyDescent="0.35">
      <c r="A447" s="21"/>
      <c r="C447" s="23"/>
      <c r="D447" s="24"/>
      <c r="E447" s="23"/>
    </row>
    <row r="448" spans="1:5" s="22" customFormat="1" x14ac:dyDescent="0.35">
      <c r="A448" s="21"/>
      <c r="C448" s="23"/>
      <c r="D448" s="24"/>
      <c r="E448" s="23"/>
    </row>
    <row r="449" spans="1:5" s="22" customFormat="1" x14ac:dyDescent="0.35">
      <c r="A449" s="21"/>
      <c r="C449" s="23"/>
      <c r="D449" s="24"/>
      <c r="E449" s="23"/>
    </row>
    <row r="450" spans="1:5" s="22" customFormat="1" x14ac:dyDescent="0.35">
      <c r="A450" s="21"/>
      <c r="C450" s="23"/>
      <c r="D450" s="24"/>
      <c r="E450" s="23"/>
    </row>
    <row r="451" spans="1:5" s="22" customFormat="1" x14ac:dyDescent="0.35">
      <c r="A451" s="21"/>
      <c r="C451" s="23"/>
      <c r="D451" s="24"/>
      <c r="E451" s="23"/>
    </row>
    <row r="452" spans="1:5" s="22" customFormat="1" x14ac:dyDescent="0.35">
      <c r="A452" s="21"/>
      <c r="C452" s="23"/>
      <c r="D452" s="24"/>
      <c r="E452" s="23"/>
    </row>
    <row r="453" spans="1:5" s="22" customFormat="1" x14ac:dyDescent="0.35">
      <c r="A453" s="21"/>
      <c r="C453" s="23"/>
      <c r="D453" s="24"/>
      <c r="E453" s="23"/>
    </row>
    <row r="454" spans="1:5" s="22" customFormat="1" x14ac:dyDescent="0.35">
      <c r="A454" s="21"/>
      <c r="C454" s="23"/>
      <c r="D454" s="24"/>
      <c r="E454" s="23"/>
    </row>
    <row r="455" spans="1:5" s="22" customFormat="1" x14ac:dyDescent="0.35">
      <c r="A455" s="21"/>
      <c r="C455" s="23"/>
      <c r="D455" s="24"/>
      <c r="E455" s="23"/>
    </row>
    <row r="456" spans="1:5" s="22" customFormat="1" x14ac:dyDescent="0.35">
      <c r="A456" s="21"/>
      <c r="C456" s="23"/>
      <c r="D456" s="24"/>
      <c r="E456" s="23"/>
    </row>
    <row r="457" spans="1:5" s="22" customFormat="1" x14ac:dyDescent="0.35">
      <c r="A457" s="21"/>
      <c r="C457" s="23"/>
      <c r="D457" s="24"/>
      <c r="E457" s="23"/>
    </row>
    <row r="458" spans="1:5" s="22" customFormat="1" x14ac:dyDescent="0.35">
      <c r="A458" s="21"/>
      <c r="C458" s="23"/>
      <c r="D458" s="24"/>
      <c r="E458" s="23"/>
    </row>
    <row r="459" spans="1:5" s="22" customFormat="1" x14ac:dyDescent="0.35">
      <c r="A459" s="21"/>
      <c r="C459" s="23"/>
      <c r="D459" s="24"/>
      <c r="E459" s="23"/>
    </row>
    <row r="460" spans="1:5" s="22" customFormat="1" x14ac:dyDescent="0.35">
      <c r="A460" s="21"/>
      <c r="C460" s="23"/>
      <c r="D460" s="24"/>
      <c r="E460" s="23"/>
    </row>
    <row r="461" spans="1:5" s="22" customFormat="1" x14ac:dyDescent="0.35">
      <c r="A461" s="21"/>
      <c r="C461" s="23"/>
      <c r="D461" s="24"/>
      <c r="E461" s="23"/>
    </row>
    <row r="462" spans="1:5" s="22" customFormat="1" x14ac:dyDescent="0.35">
      <c r="A462" s="21"/>
      <c r="C462" s="23"/>
      <c r="D462" s="24"/>
      <c r="E462" s="23"/>
    </row>
    <row r="463" spans="1:5" s="22" customFormat="1" x14ac:dyDescent="0.35">
      <c r="A463" s="21"/>
      <c r="C463" s="23"/>
      <c r="D463" s="24"/>
      <c r="E463" s="23"/>
    </row>
    <row r="464" spans="1:5" s="22" customFormat="1" x14ac:dyDescent="0.35">
      <c r="A464" s="21"/>
      <c r="C464" s="23"/>
      <c r="D464" s="24"/>
      <c r="E464" s="23"/>
    </row>
    <row r="465" spans="1:5" s="22" customFormat="1" x14ac:dyDescent="0.35">
      <c r="A465" s="21"/>
      <c r="C465" s="23"/>
      <c r="D465" s="24"/>
      <c r="E465" s="23"/>
    </row>
    <row r="466" spans="1:5" s="22" customFormat="1" x14ac:dyDescent="0.35">
      <c r="A466" s="21"/>
      <c r="C466" s="23"/>
      <c r="D466" s="24"/>
      <c r="E466" s="23"/>
    </row>
    <row r="467" spans="1:5" s="22" customFormat="1" x14ac:dyDescent="0.35">
      <c r="A467" s="21"/>
      <c r="C467" s="23"/>
      <c r="D467" s="24"/>
      <c r="E467" s="23"/>
    </row>
    <row r="468" spans="1:5" s="22" customFormat="1" x14ac:dyDescent="0.35">
      <c r="A468" s="21"/>
      <c r="C468" s="23"/>
      <c r="D468" s="24"/>
      <c r="E468" s="23"/>
    </row>
    <row r="469" spans="1:5" s="22" customFormat="1" x14ac:dyDescent="0.35">
      <c r="A469" s="21"/>
      <c r="C469" s="23"/>
      <c r="D469" s="24"/>
      <c r="E469" s="23"/>
    </row>
    <row r="470" spans="1:5" s="22" customFormat="1" x14ac:dyDescent="0.35">
      <c r="A470" s="21"/>
      <c r="C470" s="23"/>
      <c r="D470" s="24"/>
      <c r="E470" s="23"/>
    </row>
    <row r="471" spans="1:5" s="22" customFormat="1" x14ac:dyDescent="0.35">
      <c r="A471" s="21"/>
      <c r="C471" s="23"/>
      <c r="D471" s="24"/>
      <c r="E471" s="23"/>
    </row>
    <row r="472" spans="1:5" s="22" customFormat="1" x14ac:dyDescent="0.35">
      <c r="A472" s="21"/>
      <c r="C472" s="23"/>
      <c r="D472" s="24"/>
      <c r="E472" s="23"/>
    </row>
    <row r="473" spans="1:5" s="22" customFormat="1" x14ac:dyDescent="0.35">
      <c r="A473" s="21"/>
      <c r="C473" s="23"/>
      <c r="D473" s="24"/>
      <c r="E473" s="23"/>
    </row>
    <row r="474" spans="1:5" s="22" customFormat="1" x14ac:dyDescent="0.35">
      <c r="A474" s="21"/>
      <c r="C474" s="23"/>
      <c r="D474" s="24"/>
      <c r="E474" s="23"/>
    </row>
    <row r="475" spans="1:5" s="22" customFormat="1" x14ac:dyDescent="0.35">
      <c r="A475" s="21"/>
      <c r="C475" s="23"/>
      <c r="D475" s="24"/>
      <c r="E475" s="23"/>
    </row>
    <row r="476" spans="1:5" s="22" customFormat="1" x14ac:dyDescent="0.35">
      <c r="A476" s="21"/>
      <c r="C476" s="23"/>
      <c r="D476" s="24"/>
      <c r="E476" s="23"/>
    </row>
    <row r="477" spans="1:5" s="22" customFormat="1" x14ac:dyDescent="0.35">
      <c r="A477" s="21"/>
      <c r="C477" s="23"/>
      <c r="D477" s="24"/>
      <c r="E477" s="23"/>
    </row>
    <row r="478" spans="1:5" s="22" customFormat="1" x14ac:dyDescent="0.35">
      <c r="A478" s="21"/>
      <c r="C478" s="23"/>
      <c r="D478" s="24"/>
      <c r="E478" s="23"/>
    </row>
    <row r="479" spans="1:5" s="22" customFormat="1" x14ac:dyDescent="0.35">
      <c r="A479" s="21"/>
      <c r="C479" s="23"/>
      <c r="D479" s="24"/>
      <c r="E479" s="23"/>
    </row>
    <row r="480" spans="1:5" s="22" customFormat="1" x14ac:dyDescent="0.35">
      <c r="A480" s="21"/>
      <c r="C480" s="23"/>
      <c r="D480" s="24"/>
      <c r="E480" s="23"/>
    </row>
    <row r="481" spans="1:5" s="22" customFormat="1" x14ac:dyDescent="0.35">
      <c r="A481" s="21"/>
      <c r="C481" s="23"/>
      <c r="D481" s="24"/>
      <c r="E481" s="23"/>
    </row>
    <row r="482" spans="1:5" s="22" customFormat="1" x14ac:dyDescent="0.35">
      <c r="A482" s="21"/>
      <c r="C482" s="23"/>
      <c r="D482" s="24"/>
      <c r="E482" s="23"/>
    </row>
    <row r="483" spans="1:5" s="22" customFormat="1" x14ac:dyDescent="0.35">
      <c r="A483" s="21"/>
      <c r="C483" s="23"/>
      <c r="D483" s="24"/>
      <c r="E483" s="23"/>
    </row>
    <row r="484" spans="1:5" s="22" customFormat="1" x14ac:dyDescent="0.35">
      <c r="A484" s="21"/>
      <c r="C484" s="23"/>
      <c r="D484" s="24"/>
      <c r="E484" s="23"/>
    </row>
    <row r="485" spans="1:5" s="22" customFormat="1" x14ac:dyDescent="0.35">
      <c r="A485" s="21"/>
      <c r="C485" s="23"/>
      <c r="D485" s="24"/>
      <c r="E485" s="23"/>
    </row>
    <row r="486" spans="1:5" s="22" customFormat="1" x14ac:dyDescent="0.35">
      <c r="A486" s="21"/>
      <c r="C486" s="23"/>
      <c r="D486" s="24"/>
      <c r="E486" s="23"/>
    </row>
    <row r="487" spans="1:5" s="22" customFormat="1" x14ac:dyDescent="0.35">
      <c r="A487" s="21"/>
      <c r="C487" s="23"/>
      <c r="D487" s="24"/>
      <c r="E487" s="23"/>
    </row>
    <row r="488" spans="1:5" s="22" customFormat="1" x14ac:dyDescent="0.35">
      <c r="A488" s="21"/>
      <c r="C488" s="23"/>
      <c r="D488" s="24"/>
      <c r="E488" s="23"/>
    </row>
    <row r="489" spans="1:5" s="22" customFormat="1" x14ac:dyDescent="0.35">
      <c r="A489" s="21"/>
      <c r="C489" s="23"/>
      <c r="D489" s="24"/>
      <c r="E489" s="23"/>
    </row>
    <row r="490" spans="1:5" s="22" customFormat="1" x14ac:dyDescent="0.35">
      <c r="A490" s="21"/>
      <c r="C490" s="23"/>
      <c r="D490" s="24"/>
      <c r="E490" s="23"/>
    </row>
    <row r="491" spans="1:5" s="22" customFormat="1" x14ac:dyDescent="0.35">
      <c r="A491" s="21"/>
      <c r="C491" s="23"/>
      <c r="D491" s="24"/>
      <c r="E491" s="23"/>
    </row>
    <row r="492" spans="1:5" s="22" customFormat="1" x14ac:dyDescent="0.35">
      <c r="A492" s="21"/>
      <c r="C492" s="23"/>
      <c r="D492" s="24"/>
      <c r="E492" s="23"/>
    </row>
    <row r="493" spans="1:5" s="22" customFormat="1" x14ac:dyDescent="0.35">
      <c r="A493" s="21"/>
      <c r="C493" s="23"/>
      <c r="D493" s="24"/>
      <c r="E493" s="23"/>
    </row>
    <row r="494" spans="1:5" s="22" customFormat="1" x14ac:dyDescent="0.35">
      <c r="A494" s="21"/>
      <c r="C494" s="23"/>
      <c r="D494" s="24"/>
      <c r="E494" s="23"/>
    </row>
    <row r="495" spans="1:5" s="22" customFormat="1" x14ac:dyDescent="0.35">
      <c r="A495" s="21"/>
      <c r="C495" s="23"/>
      <c r="D495" s="24"/>
      <c r="E495" s="23"/>
    </row>
    <row r="496" spans="1:5" s="22" customFormat="1" x14ac:dyDescent="0.35">
      <c r="A496" s="21"/>
      <c r="C496" s="23"/>
      <c r="D496" s="24"/>
      <c r="E496" s="23"/>
    </row>
    <row r="497" spans="1:5" s="22" customFormat="1" x14ac:dyDescent="0.35">
      <c r="A497" s="21"/>
      <c r="C497" s="23"/>
      <c r="D497" s="24"/>
      <c r="E497" s="23"/>
    </row>
    <row r="498" spans="1:5" s="22" customFormat="1" x14ac:dyDescent="0.35">
      <c r="A498" s="21"/>
      <c r="C498" s="23"/>
      <c r="D498" s="24"/>
      <c r="E498" s="23"/>
    </row>
    <row r="499" spans="1:5" s="22" customFormat="1" x14ac:dyDescent="0.35">
      <c r="A499" s="21"/>
      <c r="C499" s="23"/>
      <c r="D499" s="24"/>
      <c r="E499" s="23"/>
    </row>
    <row r="500" spans="1:5" s="22" customFormat="1" x14ac:dyDescent="0.35">
      <c r="A500" s="21"/>
      <c r="C500" s="23"/>
      <c r="D500" s="24"/>
      <c r="E500" s="23"/>
    </row>
    <row r="501" spans="1:5" s="22" customFormat="1" x14ac:dyDescent="0.35">
      <c r="A501" s="21"/>
      <c r="C501" s="23"/>
      <c r="D501" s="24"/>
      <c r="E501" s="23"/>
    </row>
    <row r="502" spans="1:5" s="22" customFormat="1" x14ac:dyDescent="0.35">
      <c r="A502" s="21"/>
      <c r="C502" s="23"/>
      <c r="D502" s="24"/>
      <c r="E502" s="23"/>
    </row>
    <row r="503" spans="1:5" s="22" customFormat="1" x14ac:dyDescent="0.35">
      <c r="A503" s="21"/>
      <c r="C503" s="23"/>
      <c r="D503" s="24"/>
      <c r="E503" s="23"/>
    </row>
    <row r="504" spans="1:5" s="22" customFormat="1" x14ac:dyDescent="0.35">
      <c r="A504" s="21"/>
      <c r="C504" s="23"/>
      <c r="D504" s="24"/>
      <c r="E504" s="23"/>
    </row>
    <row r="505" spans="1:5" s="22" customFormat="1" x14ac:dyDescent="0.35">
      <c r="A505" s="21"/>
      <c r="C505" s="23"/>
      <c r="D505" s="24"/>
      <c r="E505" s="23"/>
    </row>
    <row r="506" spans="1:5" s="22" customFormat="1" x14ac:dyDescent="0.35">
      <c r="A506" s="21"/>
      <c r="C506" s="23"/>
      <c r="D506" s="24"/>
      <c r="E506" s="23"/>
    </row>
    <row r="507" spans="1:5" s="22" customFormat="1" x14ac:dyDescent="0.35">
      <c r="A507" s="21"/>
      <c r="C507" s="23"/>
      <c r="D507" s="24"/>
      <c r="E507" s="23"/>
    </row>
    <row r="508" spans="1:5" s="22" customFormat="1" x14ac:dyDescent="0.35">
      <c r="A508" s="21"/>
      <c r="C508" s="23"/>
      <c r="D508" s="24"/>
      <c r="E508" s="23"/>
    </row>
    <row r="509" spans="1:5" s="22" customFormat="1" x14ac:dyDescent="0.35">
      <c r="A509" s="21"/>
      <c r="C509" s="23"/>
      <c r="D509" s="24"/>
      <c r="E509" s="23"/>
    </row>
    <row r="510" spans="1:5" s="22" customFormat="1" x14ac:dyDescent="0.35">
      <c r="A510" s="21"/>
      <c r="C510" s="23"/>
      <c r="D510" s="24"/>
      <c r="E510" s="23"/>
    </row>
    <row r="511" spans="1:5" s="22" customFormat="1" x14ac:dyDescent="0.35">
      <c r="A511" s="21"/>
      <c r="C511" s="23"/>
      <c r="D511" s="24"/>
      <c r="E511" s="23"/>
    </row>
    <row r="512" spans="1:5" s="22" customFormat="1" x14ac:dyDescent="0.35">
      <c r="A512" s="21"/>
      <c r="C512" s="23"/>
      <c r="D512" s="24"/>
      <c r="E512" s="23"/>
    </row>
    <row r="513" spans="1:5" s="22" customFormat="1" x14ac:dyDescent="0.35">
      <c r="A513" s="21"/>
      <c r="C513" s="23"/>
      <c r="D513" s="24"/>
      <c r="E513" s="23"/>
    </row>
    <row r="514" spans="1:5" s="22" customFormat="1" x14ac:dyDescent="0.35">
      <c r="A514" s="21"/>
      <c r="C514" s="23"/>
      <c r="D514" s="24"/>
      <c r="E514" s="23"/>
    </row>
    <row r="515" spans="1:5" s="22" customFormat="1" x14ac:dyDescent="0.35">
      <c r="A515" s="21"/>
      <c r="C515" s="23"/>
      <c r="D515" s="24"/>
      <c r="E515" s="23"/>
    </row>
    <row r="516" spans="1:5" s="22" customFormat="1" x14ac:dyDescent="0.35">
      <c r="A516" s="21"/>
      <c r="C516" s="23"/>
      <c r="D516" s="24"/>
      <c r="E516" s="23"/>
    </row>
    <row r="517" spans="1:5" s="22" customFormat="1" x14ac:dyDescent="0.35">
      <c r="A517" s="21"/>
      <c r="C517" s="23"/>
      <c r="D517" s="24"/>
      <c r="E517" s="23"/>
    </row>
    <row r="518" spans="1:5" s="22" customFormat="1" x14ac:dyDescent="0.35">
      <c r="A518" s="21"/>
      <c r="C518" s="23"/>
      <c r="D518" s="24"/>
      <c r="E518" s="23"/>
    </row>
    <row r="519" spans="1:5" s="22" customFormat="1" x14ac:dyDescent="0.35">
      <c r="A519" s="21"/>
      <c r="C519" s="23"/>
      <c r="D519" s="24"/>
      <c r="E519" s="23"/>
    </row>
    <row r="520" spans="1:5" s="22" customFormat="1" x14ac:dyDescent="0.35">
      <c r="A520" s="21"/>
      <c r="C520" s="23"/>
      <c r="D520" s="24"/>
      <c r="E520" s="23"/>
    </row>
    <row r="521" spans="1:5" s="22" customFormat="1" x14ac:dyDescent="0.35">
      <c r="A521" s="21"/>
      <c r="C521" s="23"/>
      <c r="D521" s="24"/>
      <c r="E521" s="23"/>
    </row>
    <row r="522" spans="1:5" s="22" customFormat="1" x14ac:dyDescent="0.35">
      <c r="A522" s="21"/>
      <c r="C522" s="23"/>
      <c r="D522" s="24"/>
      <c r="E522" s="23"/>
    </row>
    <row r="523" spans="1:5" s="22" customFormat="1" x14ac:dyDescent="0.35">
      <c r="A523" s="21"/>
      <c r="C523" s="23"/>
      <c r="D523" s="24"/>
      <c r="E523" s="23"/>
    </row>
    <row r="524" spans="1:5" s="22" customFormat="1" x14ac:dyDescent="0.35">
      <c r="A524" s="21"/>
      <c r="C524" s="23"/>
      <c r="D524" s="24"/>
      <c r="E524" s="23"/>
    </row>
    <row r="525" spans="1:5" s="22" customFormat="1" x14ac:dyDescent="0.35">
      <c r="A525" s="21"/>
      <c r="C525" s="23"/>
      <c r="D525" s="24"/>
      <c r="E525" s="23"/>
    </row>
    <row r="526" spans="1:5" s="22" customFormat="1" x14ac:dyDescent="0.35">
      <c r="A526" s="21"/>
      <c r="C526" s="23"/>
      <c r="D526" s="24"/>
      <c r="E526" s="23"/>
    </row>
  </sheetData>
  <mergeCells count="80">
    <mergeCell ref="B15:B16"/>
    <mergeCell ref="C11:C12"/>
    <mergeCell ref="A13:A14"/>
    <mergeCell ref="C41:C42"/>
    <mergeCell ref="C45:C46"/>
    <mergeCell ref="C31:C32"/>
    <mergeCell ref="A33:A34"/>
    <mergeCell ref="C33:C34"/>
    <mergeCell ref="C43:C44"/>
    <mergeCell ref="B31:B32"/>
    <mergeCell ref="B33:B34"/>
    <mergeCell ref="B35:B36"/>
    <mergeCell ref="B37:B38"/>
    <mergeCell ref="B39:B40"/>
    <mergeCell ref="B41:B42"/>
    <mergeCell ref="B43:B44"/>
    <mergeCell ref="A39:A40"/>
    <mergeCell ref="C39:C40"/>
    <mergeCell ref="B17:B18"/>
    <mergeCell ref="B19:B20"/>
    <mergeCell ref="B21:B22"/>
    <mergeCell ref="B23:B24"/>
    <mergeCell ref="B25:B26"/>
    <mergeCell ref="B27:B28"/>
    <mergeCell ref="B29:B30"/>
    <mergeCell ref="A23:A24"/>
    <mergeCell ref="C23:C24"/>
    <mergeCell ref="A25:A26"/>
    <mergeCell ref="C25:C26"/>
    <mergeCell ref="A19:A20"/>
    <mergeCell ref="C19:C20"/>
    <mergeCell ref="A21:A22"/>
    <mergeCell ref="B6:F6"/>
    <mergeCell ref="A4:A5"/>
    <mergeCell ref="B4:B5"/>
    <mergeCell ref="C4:C5"/>
    <mergeCell ref="D4:D5"/>
    <mergeCell ref="F4:F5"/>
    <mergeCell ref="C13:C14"/>
    <mergeCell ref="A7:A8"/>
    <mergeCell ref="C7:C8"/>
    <mergeCell ref="A9:A10"/>
    <mergeCell ref="C9:C10"/>
    <mergeCell ref="A11:A12"/>
    <mergeCell ref="B7:B8"/>
    <mergeCell ref="B9:B10"/>
    <mergeCell ref="B11:B12"/>
    <mergeCell ref="B13:B14"/>
    <mergeCell ref="A2:F2"/>
    <mergeCell ref="A55:D55"/>
    <mergeCell ref="A27:A28"/>
    <mergeCell ref="C27:C28"/>
    <mergeCell ref="A29:A30"/>
    <mergeCell ref="C29:C30"/>
    <mergeCell ref="A41:A42"/>
    <mergeCell ref="A35:A36"/>
    <mergeCell ref="C35:C36"/>
    <mergeCell ref="A37:A38"/>
    <mergeCell ref="C37:C38"/>
    <mergeCell ref="A31:A32"/>
    <mergeCell ref="A15:A16"/>
    <mergeCell ref="C15:C16"/>
    <mergeCell ref="A17:A18"/>
    <mergeCell ref="C17:C18"/>
    <mergeCell ref="C21:C22"/>
    <mergeCell ref="C49:C50"/>
    <mergeCell ref="C53:C54"/>
    <mergeCell ref="A43:A44"/>
    <mergeCell ref="A45:A46"/>
    <mergeCell ref="A47:A48"/>
    <mergeCell ref="A49:A50"/>
    <mergeCell ref="A51:A52"/>
    <mergeCell ref="B53:B54"/>
    <mergeCell ref="B51:B52"/>
    <mergeCell ref="C51:C52"/>
    <mergeCell ref="A53:A54"/>
    <mergeCell ref="C47:C48"/>
    <mergeCell ref="B47:B48"/>
    <mergeCell ref="B49:B50"/>
    <mergeCell ref="B45:B46"/>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0"/>
  <sheetViews>
    <sheetView workbookViewId="0">
      <selection activeCell="D20" sqref="D20"/>
    </sheetView>
  </sheetViews>
  <sheetFormatPr defaultColWidth="9.1796875" defaultRowHeight="14.5" x14ac:dyDescent="0.35"/>
  <cols>
    <col min="1" max="1" width="7.453125" style="16" customWidth="1"/>
    <col min="2" max="2" width="37.1796875" bestFit="1" customWidth="1"/>
    <col min="3" max="3" width="57" style="13" bestFit="1" customWidth="1"/>
    <col min="4" max="4" width="14.54296875" style="4" bestFit="1" customWidth="1"/>
    <col min="5" max="5" width="18.26953125" style="14" bestFit="1" customWidth="1"/>
    <col min="6" max="6" width="14.26953125" bestFit="1" customWidth="1"/>
    <col min="7" max="7" width="14.26953125" customWidth="1"/>
    <col min="9" max="9" width="12.7265625" bestFit="1" customWidth="1"/>
  </cols>
  <sheetData>
    <row r="1" spans="1:10" s="22" customFormat="1" x14ac:dyDescent="0.35">
      <c r="A1" s="21"/>
      <c r="D1" s="23"/>
      <c r="E1" s="24"/>
      <c r="F1" s="23"/>
      <c r="G1" s="23"/>
    </row>
    <row r="2" spans="1:10" s="22" customFormat="1" x14ac:dyDescent="0.35">
      <c r="A2" s="133" t="s">
        <v>159</v>
      </c>
      <c r="B2" s="134"/>
      <c r="C2" s="134"/>
      <c r="D2" s="134"/>
      <c r="E2" s="134"/>
      <c r="F2" s="134"/>
      <c r="G2" s="91"/>
    </row>
    <row r="3" spans="1:10" s="22" customFormat="1" x14ac:dyDescent="0.35">
      <c r="A3" s="21"/>
      <c r="D3" s="23"/>
      <c r="E3" s="24"/>
      <c r="F3" s="23"/>
      <c r="G3" s="23"/>
    </row>
    <row r="4" spans="1:10" s="4" customFormat="1" ht="17.25" customHeight="1" x14ac:dyDescent="0.35">
      <c r="A4" s="124" t="s">
        <v>21</v>
      </c>
      <c r="B4" s="131" t="s">
        <v>33</v>
      </c>
      <c r="C4" s="131" t="s">
        <v>34</v>
      </c>
      <c r="D4" s="132" t="s">
        <v>35</v>
      </c>
      <c r="E4" s="80" t="s">
        <v>36</v>
      </c>
      <c r="F4" s="135" t="s">
        <v>37</v>
      </c>
      <c r="G4" s="135"/>
      <c r="H4" s="135"/>
    </row>
    <row r="5" spans="1:10" s="4" customFormat="1" x14ac:dyDescent="0.35">
      <c r="A5" s="124"/>
      <c r="B5" s="131"/>
      <c r="C5" s="131"/>
      <c r="D5" s="132"/>
      <c r="E5" s="80" t="s">
        <v>22</v>
      </c>
      <c r="F5" s="135"/>
      <c r="G5" s="135"/>
      <c r="H5" s="135"/>
    </row>
    <row r="6" spans="1:10" x14ac:dyDescent="0.35">
      <c r="A6" s="15"/>
      <c r="B6" s="130" t="s">
        <v>23</v>
      </c>
      <c r="C6" s="130"/>
      <c r="D6" s="130"/>
      <c r="E6" s="130"/>
      <c r="F6" s="130"/>
      <c r="G6" s="130"/>
      <c r="H6" s="130"/>
    </row>
    <row r="7" spans="1:10" ht="16.5" customHeight="1" x14ac:dyDescent="0.35">
      <c r="A7" s="124">
        <v>1</v>
      </c>
      <c r="B7" s="118" t="s">
        <v>81</v>
      </c>
      <c r="C7" s="118" t="s">
        <v>141</v>
      </c>
      <c r="D7" s="36">
        <v>250000</v>
      </c>
      <c r="E7" s="12">
        <v>4</v>
      </c>
      <c r="F7" s="9">
        <f t="shared" ref="F7:F18" si="0">D7*E7</f>
        <v>1000000</v>
      </c>
      <c r="G7" s="9"/>
      <c r="H7" s="6"/>
    </row>
    <row r="8" spans="1:10" ht="16.5" customHeight="1" x14ac:dyDescent="0.35">
      <c r="A8" s="124"/>
      <c r="B8" s="118"/>
      <c r="C8" s="118"/>
      <c r="D8" s="36"/>
      <c r="E8" s="12"/>
      <c r="F8" s="9">
        <f t="shared" si="0"/>
        <v>0</v>
      </c>
      <c r="G8" s="9"/>
      <c r="H8" s="6"/>
    </row>
    <row r="9" spans="1:10" ht="16.5" customHeight="1" x14ac:dyDescent="0.35">
      <c r="A9" s="124">
        <v>2</v>
      </c>
      <c r="B9" s="118" t="s">
        <v>96</v>
      </c>
      <c r="C9" s="118" t="s">
        <v>142</v>
      </c>
      <c r="D9" s="36">
        <v>200000</v>
      </c>
      <c r="E9" s="12">
        <v>12</v>
      </c>
      <c r="F9" s="9">
        <f t="shared" si="0"/>
        <v>2400000</v>
      </c>
      <c r="G9" s="9"/>
      <c r="H9" s="6"/>
    </row>
    <row r="10" spans="1:10" ht="16.5" customHeight="1" x14ac:dyDescent="0.35">
      <c r="A10" s="124"/>
      <c r="B10" s="118"/>
      <c r="C10" s="118"/>
      <c r="D10" s="36"/>
      <c r="E10" s="12"/>
      <c r="F10" s="9">
        <f t="shared" si="0"/>
        <v>0</v>
      </c>
      <c r="G10" s="9"/>
      <c r="H10" s="6"/>
    </row>
    <row r="11" spans="1:10" x14ac:dyDescent="0.35">
      <c r="A11" s="124">
        <v>3</v>
      </c>
      <c r="B11" s="118" t="s">
        <v>82</v>
      </c>
      <c r="C11" s="118" t="s">
        <v>124</v>
      </c>
      <c r="D11" s="36">
        <v>100000</v>
      </c>
      <c r="E11" s="12">
        <v>12</v>
      </c>
      <c r="F11" s="9">
        <f t="shared" si="0"/>
        <v>1200000</v>
      </c>
      <c r="G11" s="9"/>
      <c r="H11" s="6"/>
      <c r="I11">
        <v>12</v>
      </c>
      <c r="J11">
        <f>I11*D11</f>
        <v>1200000</v>
      </c>
    </row>
    <row r="12" spans="1:10" x14ac:dyDescent="0.35">
      <c r="A12" s="124"/>
      <c r="B12" s="118"/>
      <c r="C12" s="118"/>
      <c r="D12" s="36"/>
      <c r="E12" s="12"/>
      <c r="F12" s="9">
        <f t="shared" si="0"/>
        <v>0</v>
      </c>
      <c r="G12" s="9"/>
      <c r="H12" s="6"/>
      <c r="J12">
        <f t="shared" ref="J12:J17" si="1">I12*D12</f>
        <v>0</v>
      </c>
    </row>
    <row r="13" spans="1:10" x14ac:dyDescent="0.35">
      <c r="A13" s="124">
        <v>4</v>
      </c>
      <c r="B13" s="118" t="s">
        <v>128</v>
      </c>
      <c r="C13" s="118" t="s">
        <v>124</v>
      </c>
      <c r="D13" s="36">
        <v>100000</v>
      </c>
      <c r="E13" s="12">
        <v>12</v>
      </c>
      <c r="F13" s="9">
        <f t="shared" si="0"/>
        <v>1200000</v>
      </c>
      <c r="G13" s="9"/>
      <c r="H13" s="6"/>
      <c r="I13">
        <v>12</v>
      </c>
      <c r="J13">
        <f t="shared" si="1"/>
        <v>1200000</v>
      </c>
    </row>
    <row r="14" spans="1:10" x14ac:dyDescent="0.35">
      <c r="A14" s="124"/>
      <c r="B14" s="118"/>
      <c r="C14" s="118"/>
      <c r="D14" s="36"/>
      <c r="E14" s="12"/>
      <c r="F14" s="9">
        <f t="shared" si="0"/>
        <v>0</v>
      </c>
      <c r="G14" s="9"/>
      <c r="H14" s="6"/>
      <c r="J14">
        <f t="shared" si="1"/>
        <v>0</v>
      </c>
    </row>
    <row r="15" spans="1:10" x14ac:dyDescent="0.35">
      <c r="A15" s="124">
        <v>5</v>
      </c>
      <c r="B15" s="118" t="s">
        <v>138</v>
      </c>
      <c r="C15" s="118" t="s">
        <v>124</v>
      </c>
      <c r="D15" s="36">
        <v>100000</v>
      </c>
      <c r="E15" s="12">
        <v>12</v>
      </c>
      <c r="F15" s="9">
        <f t="shared" si="0"/>
        <v>1200000</v>
      </c>
      <c r="G15" s="9"/>
      <c r="H15" s="6"/>
      <c r="I15">
        <v>12</v>
      </c>
      <c r="J15">
        <f t="shared" si="1"/>
        <v>1200000</v>
      </c>
    </row>
    <row r="16" spans="1:10" x14ac:dyDescent="0.35">
      <c r="A16" s="124"/>
      <c r="B16" s="118"/>
      <c r="C16" s="118"/>
      <c r="D16" s="36"/>
      <c r="E16" s="12"/>
      <c r="F16" s="9">
        <f t="shared" si="0"/>
        <v>0</v>
      </c>
      <c r="G16" s="9"/>
      <c r="H16" s="6"/>
      <c r="J16">
        <f t="shared" si="1"/>
        <v>0</v>
      </c>
    </row>
    <row r="17" spans="1:10" x14ac:dyDescent="0.35">
      <c r="A17" s="124">
        <v>6</v>
      </c>
      <c r="B17" s="118" t="s">
        <v>139</v>
      </c>
      <c r="C17" s="118" t="s">
        <v>124</v>
      </c>
      <c r="D17" s="36">
        <v>100000</v>
      </c>
      <c r="E17" s="12">
        <v>12</v>
      </c>
      <c r="F17" s="9">
        <f t="shared" si="0"/>
        <v>1200000</v>
      </c>
      <c r="G17" s="9"/>
      <c r="H17" s="6"/>
      <c r="I17">
        <v>12</v>
      </c>
      <c r="J17">
        <f t="shared" si="1"/>
        <v>1200000</v>
      </c>
    </row>
    <row r="18" spans="1:10" x14ac:dyDescent="0.35">
      <c r="A18" s="124"/>
      <c r="B18" s="118"/>
      <c r="C18" s="118"/>
      <c r="D18" s="36"/>
      <c r="E18" s="12"/>
      <c r="F18" s="9">
        <f t="shared" si="0"/>
        <v>0</v>
      </c>
      <c r="G18" s="9"/>
      <c r="H18" s="6"/>
    </row>
    <row r="19" spans="1:10" s="22" customFormat="1" x14ac:dyDescent="0.35">
      <c r="A19" s="136"/>
      <c r="B19" s="136"/>
      <c r="C19" s="136"/>
      <c r="D19" s="136"/>
      <c r="E19" s="30"/>
      <c r="F19" s="83">
        <f>SUM(F7:F18)</f>
        <v>8200000</v>
      </c>
      <c r="G19" s="83"/>
      <c r="H19" s="18"/>
    </row>
    <row r="20" spans="1:10" s="22" customFormat="1" x14ac:dyDescent="0.35">
      <c r="A20" s="21"/>
      <c r="C20" s="23"/>
      <c r="D20" s="24"/>
      <c r="E20" s="23"/>
    </row>
    <row r="21" spans="1:10" s="22" customFormat="1" x14ac:dyDescent="0.35">
      <c r="A21" s="21"/>
      <c r="C21" s="23"/>
      <c r="D21" s="24"/>
      <c r="E21" s="23"/>
      <c r="F21" s="84">
        <f>F19+'5B3 Staff Remuneration'!F55</f>
        <v>40750000</v>
      </c>
      <c r="G21" s="84"/>
      <c r="I21" s="84"/>
    </row>
    <row r="22" spans="1:10" s="22" customFormat="1" x14ac:dyDescent="0.35">
      <c r="A22" s="21"/>
      <c r="C22" s="23"/>
      <c r="D22" s="24"/>
      <c r="E22" s="23"/>
    </row>
    <row r="23" spans="1:10" s="22" customFormat="1" x14ac:dyDescent="0.35">
      <c r="A23" s="21"/>
      <c r="C23" s="23"/>
      <c r="D23" s="24"/>
      <c r="E23" s="23"/>
    </row>
    <row r="24" spans="1:10" s="22" customFormat="1" x14ac:dyDescent="0.35">
      <c r="A24" s="21"/>
      <c r="C24" s="23"/>
      <c r="D24" s="24"/>
      <c r="E24" s="23"/>
    </row>
    <row r="25" spans="1:10" s="22" customFormat="1" x14ac:dyDescent="0.35">
      <c r="A25" s="21"/>
      <c r="C25" s="23"/>
      <c r="D25" s="24"/>
      <c r="E25" s="23"/>
    </row>
    <row r="26" spans="1:10" s="22" customFormat="1" x14ac:dyDescent="0.35">
      <c r="A26" s="21"/>
      <c r="C26" s="23"/>
      <c r="D26" s="24"/>
      <c r="E26" s="23"/>
    </row>
    <row r="27" spans="1:10" s="22" customFormat="1" x14ac:dyDescent="0.35">
      <c r="A27" s="21"/>
      <c r="C27" s="23"/>
      <c r="D27" s="24"/>
      <c r="E27" s="23"/>
    </row>
    <row r="28" spans="1:10" s="22" customFormat="1" x14ac:dyDescent="0.35">
      <c r="A28" s="21"/>
      <c r="C28" s="23"/>
      <c r="D28" s="24"/>
      <c r="E28" s="23"/>
    </row>
    <row r="29" spans="1:10" s="22" customFormat="1" x14ac:dyDescent="0.35">
      <c r="A29" s="21"/>
      <c r="C29" s="23"/>
      <c r="D29" s="24"/>
      <c r="E29" s="23"/>
    </row>
    <row r="30" spans="1:10" s="22" customFormat="1" x14ac:dyDescent="0.35">
      <c r="A30" s="21"/>
      <c r="C30" s="23"/>
      <c r="D30" s="24"/>
      <c r="E30" s="23"/>
    </row>
    <row r="31" spans="1:10" s="22" customFormat="1" x14ac:dyDescent="0.35">
      <c r="A31" s="21"/>
      <c r="C31" s="23"/>
      <c r="D31" s="24"/>
      <c r="E31" s="23"/>
    </row>
    <row r="32" spans="1:10" s="22" customFormat="1" x14ac:dyDescent="0.35">
      <c r="A32" s="21"/>
      <c r="C32" s="23"/>
      <c r="D32" s="24"/>
      <c r="E32" s="23"/>
    </row>
    <row r="33" spans="1:5" s="22" customFormat="1" x14ac:dyDescent="0.35">
      <c r="A33" s="21"/>
      <c r="C33" s="23"/>
      <c r="D33" s="24"/>
      <c r="E33" s="23"/>
    </row>
    <row r="34" spans="1:5" s="22" customFormat="1" x14ac:dyDescent="0.35">
      <c r="A34" s="21"/>
      <c r="C34" s="23"/>
      <c r="D34" s="24"/>
      <c r="E34" s="23"/>
    </row>
    <row r="35" spans="1:5" s="22" customFormat="1" x14ac:dyDescent="0.35">
      <c r="A35" s="21"/>
      <c r="C35" s="23"/>
      <c r="D35" s="24"/>
      <c r="E35" s="23"/>
    </row>
    <row r="36" spans="1:5" s="22" customFormat="1" x14ac:dyDescent="0.35">
      <c r="A36" s="21"/>
      <c r="C36" s="23"/>
      <c r="D36" s="24"/>
      <c r="E36" s="23"/>
    </row>
    <row r="37" spans="1:5" s="22" customFormat="1" x14ac:dyDescent="0.35">
      <c r="A37" s="21"/>
      <c r="C37" s="23"/>
      <c r="D37" s="24"/>
      <c r="E37" s="23"/>
    </row>
    <row r="38" spans="1:5" s="22" customFormat="1" x14ac:dyDescent="0.35">
      <c r="A38" s="21"/>
      <c r="C38" s="23"/>
      <c r="D38" s="24"/>
      <c r="E38" s="23"/>
    </row>
    <row r="39" spans="1:5" s="22" customFormat="1" x14ac:dyDescent="0.35">
      <c r="A39" s="21"/>
      <c r="C39" s="23"/>
      <c r="D39" s="24"/>
      <c r="E39" s="23"/>
    </row>
    <row r="40" spans="1:5" s="22" customFormat="1" x14ac:dyDescent="0.35">
      <c r="A40" s="21"/>
      <c r="C40" s="23"/>
      <c r="D40" s="24"/>
      <c r="E40" s="23"/>
    </row>
    <row r="41" spans="1:5" s="22" customFormat="1" x14ac:dyDescent="0.35">
      <c r="A41" s="21"/>
      <c r="C41" s="23"/>
      <c r="D41" s="24"/>
      <c r="E41" s="23"/>
    </row>
    <row r="42" spans="1:5" s="22" customFormat="1" x14ac:dyDescent="0.35">
      <c r="A42" s="21"/>
      <c r="C42" s="23"/>
      <c r="D42" s="24"/>
      <c r="E42" s="23"/>
    </row>
    <row r="43" spans="1:5" s="22" customFormat="1" x14ac:dyDescent="0.35">
      <c r="A43" s="21"/>
      <c r="C43" s="23"/>
      <c r="D43" s="24"/>
      <c r="E43" s="23"/>
    </row>
    <row r="44" spans="1:5" s="22" customFormat="1" x14ac:dyDescent="0.35">
      <c r="A44" s="21"/>
      <c r="C44" s="23"/>
      <c r="D44" s="24"/>
      <c r="E44" s="23"/>
    </row>
    <row r="45" spans="1:5" s="22" customFormat="1" x14ac:dyDescent="0.35">
      <c r="A45" s="21"/>
      <c r="C45" s="23"/>
      <c r="D45" s="24"/>
      <c r="E45" s="23"/>
    </row>
    <row r="46" spans="1:5" s="22" customFormat="1" x14ac:dyDescent="0.35">
      <c r="A46" s="21"/>
      <c r="C46" s="23"/>
      <c r="D46" s="24"/>
      <c r="E46" s="23"/>
    </row>
    <row r="47" spans="1:5" s="22" customFormat="1" x14ac:dyDescent="0.35">
      <c r="A47" s="21"/>
      <c r="C47" s="23"/>
      <c r="D47" s="24"/>
      <c r="E47" s="23"/>
    </row>
    <row r="48" spans="1:5" s="22" customFormat="1" x14ac:dyDescent="0.35">
      <c r="A48" s="21"/>
      <c r="C48" s="23"/>
      <c r="D48" s="24"/>
      <c r="E48" s="23"/>
    </row>
    <row r="49" spans="1:5" s="22" customFormat="1" x14ac:dyDescent="0.35">
      <c r="A49" s="21"/>
      <c r="C49" s="23"/>
      <c r="D49" s="24"/>
      <c r="E49" s="23"/>
    </row>
    <row r="50" spans="1:5" s="22" customFormat="1" x14ac:dyDescent="0.35">
      <c r="A50" s="21"/>
      <c r="C50" s="23"/>
      <c r="D50" s="24"/>
      <c r="E50" s="23"/>
    </row>
    <row r="51" spans="1:5" s="22" customFormat="1" x14ac:dyDescent="0.35">
      <c r="A51" s="21"/>
      <c r="C51" s="23"/>
      <c r="D51" s="24"/>
      <c r="E51" s="23"/>
    </row>
    <row r="52" spans="1:5" s="22" customFormat="1" x14ac:dyDescent="0.35">
      <c r="A52" s="21"/>
      <c r="C52" s="23"/>
      <c r="D52" s="24"/>
      <c r="E52" s="23"/>
    </row>
    <row r="53" spans="1:5" s="22" customFormat="1" x14ac:dyDescent="0.35">
      <c r="A53" s="21"/>
      <c r="C53" s="23"/>
      <c r="D53" s="24"/>
      <c r="E53" s="23"/>
    </row>
    <row r="54" spans="1:5" s="22" customFormat="1" x14ac:dyDescent="0.35">
      <c r="A54" s="21"/>
      <c r="C54" s="23"/>
      <c r="D54" s="24"/>
      <c r="E54" s="23"/>
    </row>
    <row r="55" spans="1:5" s="22" customFormat="1" x14ac:dyDescent="0.35">
      <c r="A55" s="21"/>
      <c r="C55" s="23"/>
      <c r="D55" s="24"/>
      <c r="E55" s="23"/>
    </row>
    <row r="56" spans="1:5" s="22" customFormat="1" x14ac:dyDescent="0.35">
      <c r="A56" s="21"/>
      <c r="C56" s="23"/>
      <c r="D56" s="24"/>
      <c r="E56" s="23"/>
    </row>
    <row r="57" spans="1:5" s="22" customFormat="1" x14ac:dyDescent="0.35">
      <c r="A57" s="21"/>
      <c r="C57" s="23"/>
      <c r="D57" s="24"/>
      <c r="E57" s="23"/>
    </row>
    <row r="58" spans="1:5" s="22" customFormat="1" x14ac:dyDescent="0.35">
      <c r="A58" s="21"/>
      <c r="C58" s="23"/>
      <c r="D58" s="24"/>
      <c r="E58" s="23"/>
    </row>
    <row r="59" spans="1:5" s="22" customFormat="1" x14ac:dyDescent="0.35">
      <c r="A59" s="21"/>
      <c r="C59" s="23"/>
      <c r="D59" s="24"/>
      <c r="E59" s="23"/>
    </row>
    <row r="60" spans="1:5" s="22" customFormat="1" x14ac:dyDescent="0.35">
      <c r="A60" s="21"/>
      <c r="C60" s="23"/>
      <c r="D60" s="24"/>
      <c r="E60" s="23"/>
    </row>
    <row r="61" spans="1:5" s="22" customFormat="1" x14ac:dyDescent="0.35">
      <c r="A61" s="21"/>
      <c r="C61" s="23"/>
      <c r="D61" s="24"/>
      <c r="E61" s="23"/>
    </row>
    <row r="62" spans="1:5" s="22" customFormat="1" x14ac:dyDescent="0.35">
      <c r="A62" s="21"/>
      <c r="C62" s="23"/>
      <c r="D62" s="24"/>
      <c r="E62" s="23"/>
    </row>
    <row r="63" spans="1:5" s="22" customFormat="1" x14ac:dyDescent="0.35">
      <c r="A63" s="21"/>
      <c r="C63" s="23"/>
      <c r="D63" s="24"/>
      <c r="E63" s="23"/>
    </row>
    <row r="64" spans="1:5" s="22" customFormat="1" x14ac:dyDescent="0.35">
      <c r="A64" s="21"/>
      <c r="C64" s="23"/>
      <c r="D64" s="24"/>
      <c r="E64" s="23"/>
    </row>
    <row r="65" spans="1:5" s="22" customFormat="1" x14ac:dyDescent="0.35">
      <c r="A65" s="21"/>
      <c r="C65" s="23"/>
      <c r="D65" s="24"/>
      <c r="E65" s="23"/>
    </row>
    <row r="66" spans="1:5" s="22" customFormat="1" x14ac:dyDescent="0.35">
      <c r="A66" s="21"/>
      <c r="C66" s="23"/>
      <c r="D66" s="24"/>
      <c r="E66" s="23"/>
    </row>
    <row r="67" spans="1:5" s="22" customFormat="1" x14ac:dyDescent="0.35">
      <c r="A67" s="21"/>
      <c r="C67" s="23"/>
      <c r="D67" s="24"/>
      <c r="E67" s="23"/>
    </row>
    <row r="68" spans="1:5" s="22" customFormat="1" x14ac:dyDescent="0.35">
      <c r="A68" s="21"/>
      <c r="C68" s="23"/>
      <c r="D68" s="24"/>
      <c r="E68" s="23"/>
    </row>
    <row r="69" spans="1:5" s="22" customFormat="1" x14ac:dyDescent="0.35">
      <c r="A69" s="21"/>
      <c r="C69" s="23"/>
      <c r="D69" s="24"/>
      <c r="E69" s="23"/>
    </row>
    <row r="70" spans="1:5" s="22" customFormat="1" x14ac:dyDescent="0.35">
      <c r="A70" s="21"/>
      <c r="C70" s="23"/>
      <c r="D70" s="24"/>
      <c r="E70" s="23"/>
    </row>
    <row r="71" spans="1:5" s="22" customFormat="1" x14ac:dyDescent="0.35">
      <c r="A71" s="21"/>
      <c r="C71" s="23"/>
      <c r="D71" s="24"/>
      <c r="E71" s="23"/>
    </row>
    <row r="72" spans="1:5" s="22" customFormat="1" x14ac:dyDescent="0.35">
      <c r="A72" s="21"/>
      <c r="C72" s="23"/>
      <c r="D72" s="24"/>
      <c r="E72" s="23"/>
    </row>
    <row r="73" spans="1:5" s="22" customFormat="1" x14ac:dyDescent="0.35">
      <c r="A73" s="21"/>
      <c r="C73" s="23"/>
      <c r="D73" s="24"/>
      <c r="E73" s="23"/>
    </row>
    <row r="74" spans="1:5" s="22" customFormat="1" x14ac:dyDescent="0.35">
      <c r="A74" s="21"/>
      <c r="C74" s="23"/>
      <c r="D74" s="24"/>
      <c r="E74" s="23"/>
    </row>
    <row r="75" spans="1:5" s="22" customFormat="1" x14ac:dyDescent="0.35">
      <c r="A75" s="21"/>
      <c r="C75" s="23"/>
      <c r="D75" s="24"/>
      <c r="E75" s="23"/>
    </row>
    <row r="76" spans="1:5" s="22" customFormat="1" x14ac:dyDescent="0.35">
      <c r="A76" s="21"/>
      <c r="C76" s="23"/>
      <c r="D76" s="24"/>
      <c r="E76" s="23"/>
    </row>
    <row r="77" spans="1:5" s="22" customFormat="1" x14ac:dyDescent="0.35">
      <c r="A77" s="21"/>
      <c r="C77" s="23"/>
      <c r="D77" s="24"/>
      <c r="E77" s="23"/>
    </row>
    <row r="78" spans="1:5" s="22" customFormat="1" x14ac:dyDescent="0.35">
      <c r="A78" s="21"/>
      <c r="C78" s="23"/>
      <c r="D78" s="24"/>
      <c r="E78" s="23"/>
    </row>
    <row r="79" spans="1:5" s="22" customFormat="1" x14ac:dyDescent="0.35">
      <c r="A79" s="21"/>
      <c r="C79" s="23"/>
      <c r="D79" s="24"/>
      <c r="E79" s="23"/>
    </row>
    <row r="80" spans="1:5" s="22" customFormat="1" x14ac:dyDescent="0.35">
      <c r="A80" s="21"/>
      <c r="C80" s="23"/>
      <c r="D80" s="24"/>
      <c r="E80" s="23"/>
    </row>
    <row r="81" spans="1:5" s="22" customFormat="1" x14ac:dyDescent="0.35">
      <c r="A81" s="21"/>
      <c r="C81" s="23"/>
      <c r="D81" s="24"/>
      <c r="E81" s="23"/>
    </row>
    <row r="82" spans="1:5" s="22" customFormat="1" x14ac:dyDescent="0.35">
      <c r="A82" s="21"/>
      <c r="C82" s="23"/>
      <c r="D82" s="24"/>
      <c r="E82" s="23"/>
    </row>
    <row r="83" spans="1:5" s="22" customFormat="1" x14ac:dyDescent="0.35">
      <c r="A83" s="21"/>
      <c r="C83" s="23"/>
      <c r="D83" s="24"/>
      <c r="E83" s="23"/>
    </row>
    <row r="84" spans="1:5" s="22" customFormat="1" x14ac:dyDescent="0.35">
      <c r="A84" s="21"/>
      <c r="C84" s="23"/>
      <c r="D84" s="24"/>
      <c r="E84" s="23"/>
    </row>
    <row r="85" spans="1:5" s="22" customFormat="1" x14ac:dyDescent="0.35">
      <c r="A85" s="21"/>
      <c r="C85" s="23"/>
      <c r="D85" s="24"/>
      <c r="E85" s="23"/>
    </row>
    <row r="86" spans="1:5" s="22" customFormat="1" x14ac:dyDescent="0.35">
      <c r="A86" s="21"/>
      <c r="C86" s="23"/>
      <c r="D86" s="24"/>
      <c r="E86" s="23"/>
    </row>
    <row r="87" spans="1:5" s="22" customFormat="1" x14ac:dyDescent="0.35">
      <c r="A87" s="21"/>
      <c r="C87" s="23"/>
      <c r="D87" s="24"/>
      <c r="E87" s="23"/>
    </row>
    <row r="88" spans="1:5" s="22" customFormat="1" x14ac:dyDescent="0.35">
      <c r="A88" s="21"/>
      <c r="C88" s="23"/>
      <c r="D88" s="24"/>
      <c r="E88" s="23"/>
    </row>
    <row r="89" spans="1:5" s="22" customFormat="1" x14ac:dyDescent="0.35">
      <c r="A89" s="21"/>
      <c r="C89" s="23"/>
      <c r="D89" s="24"/>
      <c r="E89" s="23"/>
    </row>
    <row r="90" spans="1:5" s="22" customFormat="1" x14ac:dyDescent="0.35">
      <c r="A90" s="21"/>
      <c r="C90" s="23"/>
      <c r="D90" s="24"/>
      <c r="E90" s="23"/>
    </row>
    <row r="91" spans="1:5" s="22" customFormat="1" x14ac:dyDescent="0.35">
      <c r="A91" s="21"/>
      <c r="C91" s="23"/>
      <c r="D91" s="24"/>
      <c r="E91" s="23"/>
    </row>
    <row r="92" spans="1:5" s="22" customFormat="1" x14ac:dyDescent="0.35">
      <c r="A92" s="21"/>
      <c r="C92" s="23"/>
      <c r="D92" s="24"/>
      <c r="E92" s="23"/>
    </row>
    <row r="93" spans="1:5" s="22" customFormat="1" x14ac:dyDescent="0.35">
      <c r="A93" s="21"/>
      <c r="C93" s="23"/>
      <c r="D93" s="24"/>
      <c r="E93" s="23"/>
    </row>
    <row r="94" spans="1:5" s="22" customFormat="1" x14ac:dyDescent="0.35">
      <c r="A94" s="21"/>
      <c r="C94" s="23"/>
      <c r="D94" s="24"/>
      <c r="E94" s="23"/>
    </row>
    <row r="95" spans="1:5" s="22" customFormat="1" x14ac:dyDescent="0.35">
      <c r="A95" s="21"/>
      <c r="C95" s="23"/>
      <c r="D95" s="24"/>
      <c r="E95" s="23"/>
    </row>
    <row r="96" spans="1:5" s="22" customFormat="1" x14ac:dyDescent="0.35">
      <c r="A96" s="21"/>
      <c r="C96" s="23"/>
      <c r="D96" s="24"/>
      <c r="E96" s="23"/>
    </row>
    <row r="97" spans="1:5" s="22" customFormat="1" x14ac:dyDescent="0.35">
      <c r="A97" s="21"/>
      <c r="C97" s="23"/>
      <c r="D97" s="24"/>
      <c r="E97" s="23"/>
    </row>
    <row r="98" spans="1:5" s="22" customFormat="1" x14ac:dyDescent="0.35">
      <c r="A98" s="21"/>
      <c r="C98" s="23"/>
      <c r="D98" s="24"/>
      <c r="E98" s="23"/>
    </row>
    <row r="99" spans="1:5" s="22" customFormat="1" x14ac:dyDescent="0.35">
      <c r="A99" s="21"/>
      <c r="C99" s="23"/>
      <c r="D99" s="24"/>
      <c r="E99" s="23"/>
    </row>
    <row r="100" spans="1:5" s="22" customFormat="1" x14ac:dyDescent="0.35">
      <c r="A100" s="21"/>
      <c r="C100" s="23"/>
      <c r="D100" s="24"/>
      <c r="E100" s="23"/>
    </row>
    <row r="101" spans="1:5" s="22" customFormat="1" x14ac:dyDescent="0.35">
      <c r="A101" s="21"/>
      <c r="C101" s="23"/>
      <c r="D101" s="24"/>
      <c r="E101" s="23"/>
    </row>
    <row r="102" spans="1:5" s="22" customFormat="1" x14ac:dyDescent="0.35">
      <c r="A102" s="21"/>
      <c r="C102" s="23"/>
      <c r="D102" s="24"/>
      <c r="E102" s="23"/>
    </row>
    <row r="103" spans="1:5" s="22" customFormat="1" x14ac:dyDescent="0.35">
      <c r="A103" s="21"/>
      <c r="C103" s="23"/>
      <c r="D103" s="24"/>
      <c r="E103" s="23"/>
    </row>
    <row r="104" spans="1:5" s="22" customFormat="1" x14ac:dyDescent="0.35">
      <c r="A104" s="21"/>
      <c r="C104" s="23"/>
      <c r="D104" s="24"/>
      <c r="E104" s="23"/>
    </row>
    <row r="105" spans="1:5" s="22" customFormat="1" x14ac:dyDescent="0.35">
      <c r="A105" s="21"/>
      <c r="C105" s="23"/>
      <c r="D105" s="24"/>
      <c r="E105" s="23"/>
    </row>
    <row r="106" spans="1:5" s="22" customFormat="1" x14ac:dyDescent="0.35">
      <c r="A106" s="21"/>
      <c r="C106" s="23"/>
      <c r="D106" s="24"/>
      <c r="E106" s="23"/>
    </row>
    <row r="107" spans="1:5" s="22" customFormat="1" x14ac:dyDescent="0.35">
      <c r="A107" s="21"/>
      <c r="C107" s="23"/>
      <c r="D107" s="24"/>
      <c r="E107" s="23"/>
    </row>
    <row r="108" spans="1:5" s="22" customFormat="1" x14ac:dyDescent="0.35">
      <c r="A108" s="21"/>
      <c r="C108" s="23"/>
      <c r="D108" s="24"/>
      <c r="E108" s="23"/>
    </row>
    <row r="109" spans="1:5" s="22" customFormat="1" x14ac:dyDescent="0.35">
      <c r="A109" s="21"/>
      <c r="C109" s="23"/>
      <c r="D109" s="24"/>
      <c r="E109" s="23"/>
    </row>
    <row r="110" spans="1:5" s="22" customFormat="1" x14ac:dyDescent="0.35">
      <c r="A110" s="21"/>
      <c r="C110" s="23"/>
      <c r="D110" s="24"/>
      <c r="E110" s="23"/>
    </row>
    <row r="111" spans="1:5" s="22" customFormat="1" x14ac:dyDescent="0.35">
      <c r="A111" s="21"/>
      <c r="C111" s="23"/>
      <c r="D111" s="24"/>
      <c r="E111" s="23"/>
    </row>
    <row r="112" spans="1:5" s="22" customFormat="1" x14ac:dyDescent="0.35">
      <c r="A112" s="21"/>
      <c r="C112" s="23"/>
      <c r="D112" s="24"/>
      <c r="E112" s="23"/>
    </row>
    <row r="113" spans="1:5" s="22" customFormat="1" x14ac:dyDescent="0.35">
      <c r="A113" s="21"/>
      <c r="C113" s="23"/>
      <c r="D113" s="24"/>
      <c r="E113" s="23"/>
    </row>
    <row r="114" spans="1:5" s="22" customFormat="1" x14ac:dyDescent="0.35">
      <c r="A114" s="21"/>
      <c r="C114" s="23"/>
      <c r="D114" s="24"/>
      <c r="E114" s="23"/>
    </row>
    <row r="115" spans="1:5" s="22" customFormat="1" x14ac:dyDescent="0.35">
      <c r="A115" s="21"/>
      <c r="C115" s="23"/>
      <c r="D115" s="24"/>
      <c r="E115" s="23"/>
    </row>
    <row r="116" spans="1:5" s="22" customFormat="1" x14ac:dyDescent="0.35">
      <c r="A116" s="21"/>
      <c r="C116" s="23"/>
      <c r="D116" s="24"/>
      <c r="E116" s="23"/>
    </row>
    <row r="117" spans="1:5" s="22" customFormat="1" x14ac:dyDescent="0.35">
      <c r="A117" s="21"/>
      <c r="C117" s="23"/>
      <c r="D117" s="24"/>
      <c r="E117" s="23"/>
    </row>
    <row r="118" spans="1:5" s="22" customFormat="1" x14ac:dyDescent="0.35">
      <c r="A118" s="21"/>
      <c r="C118" s="23"/>
      <c r="D118" s="24"/>
      <c r="E118" s="23"/>
    </row>
    <row r="119" spans="1:5" s="22" customFormat="1" x14ac:dyDescent="0.35">
      <c r="A119" s="21"/>
      <c r="C119" s="23"/>
      <c r="D119" s="24"/>
      <c r="E119" s="23"/>
    </row>
    <row r="120" spans="1:5" s="22" customFormat="1" x14ac:dyDescent="0.35">
      <c r="A120" s="21"/>
      <c r="C120" s="23"/>
      <c r="D120" s="24"/>
      <c r="E120" s="23"/>
    </row>
    <row r="121" spans="1:5" s="22" customFormat="1" x14ac:dyDescent="0.35">
      <c r="A121" s="21"/>
      <c r="C121" s="23"/>
      <c r="D121" s="24"/>
      <c r="E121" s="23"/>
    </row>
    <row r="122" spans="1:5" s="22" customFormat="1" x14ac:dyDescent="0.35">
      <c r="A122" s="21"/>
      <c r="C122" s="23"/>
      <c r="D122" s="24"/>
      <c r="E122" s="23"/>
    </row>
    <row r="123" spans="1:5" s="22" customFormat="1" x14ac:dyDescent="0.35">
      <c r="A123" s="21"/>
      <c r="C123" s="23"/>
      <c r="D123" s="24"/>
      <c r="E123" s="23"/>
    </row>
    <row r="124" spans="1:5" s="22" customFormat="1" x14ac:dyDescent="0.35">
      <c r="A124" s="21"/>
      <c r="C124" s="23"/>
      <c r="D124" s="24"/>
      <c r="E124" s="23"/>
    </row>
    <row r="125" spans="1:5" s="22" customFormat="1" x14ac:dyDescent="0.35">
      <c r="A125" s="21"/>
      <c r="C125" s="23"/>
      <c r="D125" s="24"/>
      <c r="E125" s="23"/>
    </row>
    <row r="126" spans="1:5" s="22" customFormat="1" x14ac:dyDescent="0.35">
      <c r="A126" s="21"/>
      <c r="C126" s="23"/>
      <c r="D126" s="24"/>
      <c r="E126" s="23"/>
    </row>
    <row r="127" spans="1:5" s="22" customFormat="1" x14ac:dyDescent="0.35">
      <c r="A127" s="21"/>
      <c r="C127" s="23"/>
      <c r="D127" s="24"/>
      <c r="E127" s="23"/>
    </row>
    <row r="128" spans="1:5" s="22" customFormat="1" x14ac:dyDescent="0.35">
      <c r="A128" s="21"/>
      <c r="C128" s="23"/>
      <c r="D128" s="24"/>
      <c r="E128" s="23"/>
    </row>
    <row r="129" spans="1:5" s="22" customFormat="1" x14ac:dyDescent="0.35">
      <c r="A129" s="21"/>
      <c r="C129" s="23"/>
      <c r="D129" s="24"/>
      <c r="E129" s="23"/>
    </row>
    <row r="130" spans="1:5" s="22" customFormat="1" x14ac:dyDescent="0.35">
      <c r="A130" s="21"/>
      <c r="C130" s="23"/>
      <c r="D130" s="24"/>
      <c r="E130" s="23"/>
    </row>
    <row r="131" spans="1:5" s="22" customFormat="1" x14ac:dyDescent="0.35">
      <c r="A131" s="21"/>
      <c r="C131" s="23"/>
      <c r="D131" s="24"/>
      <c r="E131" s="23"/>
    </row>
    <row r="132" spans="1:5" s="22" customFormat="1" x14ac:dyDescent="0.35">
      <c r="A132" s="21"/>
      <c r="C132" s="23"/>
      <c r="D132" s="24"/>
      <c r="E132" s="23"/>
    </row>
    <row r="133" spans="1:5" s="22" customFormat="1" x14ac:dyDescent="0.35">
      <c r="A133" s="21"/>
      <c r="C133" s="23"/>
      <c r="D133" s="24"/>
      <c r="E133" s="23"/>
    </row>
    <row r="134" spans="1:5" s="22" customFormat="1" x14ac:dyDescent="0.35">
      <c r="A134" s="21"/>
      <c r="C134" s="23"/>
      <c r="D134" s="24"/>
      <c r="E134" s="23"/>
    </row>
    <row r="135" spans="1:5" s="22" customFormat="1" x14ac:dyDescent="0.35">
      <c r="A135" s="21"/>
      <c r="C135" s="23"/>
      <c r="D135" s="24"/>
      <c r="E135" s="23"/>
    </row>
    <row r="136" spans="1:5" s="22" customFormat="1" x14ac:dyDescent="0.35">
      <c r="A136" s="21"/>
      <c r="C136" s="23"/>
      <c r="D136" s="24"/>
      <c r="E136" s="23"/>
    </row>
    <row r="137" spans="1:5" s="22" customFormat="1" x14ac:dyDescent="0.35">
      <c r="A137" s="21"/>
      <c r="C137" s="23"/>
      <c r="D137" s="24"/>
      <c r="E137" s="23"/>
    </row>
    <row r="138" spans="1:5" s="22" customFormat="1" x14ac:dyDescent="0.35">
      <c r="A138" s="21"/>
      <c r="C138" s="23"/>
      <c r="D138" s="24"/>
      <c r="E138" s="23"/>
    </row>
    <row r="139" spans="1:5" s="22" customFormat="1" x14ac:dyDescent="0.35">
      <c r="A139" s="21"/>
      <c r="C139" s="23"/>
      <c r="D139" s="24"/>
      <c r="E139" s="23"/>
    </row>
    <row r="140" spans="1:5" s="22" customFormat="1" x14ac:dyDescent="0.35">
      <c r="A140" s="21"/>
      <c r="C140" s="23"/>
      <c r="D140" s="24"/>
      <c r="E140" s="23"/>
    </row>
    <row r="141" spans="1:5" s="22" customFormat="1" x14ac:dyDescent="0.35">
      <c r="A141" s="21"/>
      <c r="C141" s="23"/>
      <c r="D141" s="24"/>
      <c r="E141" s="23"/>
    </row>
    <row r="142" spans="1:5" s="22" customFormat="1" x14ac:dyDescent="0.35">
      <c r="A142" s="21"/>
      <c r="C142" s="23"/>
      <c r="D142" s="24"/>
      <c r="E142" s="23"/>
    </row>
    <row r="143" spans="1:5" s="22" customFormat="1" x14ac:dyDescent="0.35">
      <c r="A143" s="21"/>
      <c r="C143" s="23"/>
      <c r="D143" s="24"/>
      <c r="E143" s="23"/>
    </row>
    <row r="144" spans="1:5" s="22" customFormat="1" x14ac:dyDescent="0.35">
      <c r="A144" s="21"/>
      <c r="C144" s="23"/>
      <c r="D144" s="24"/>
      <c r="E144" s="23"/>
    </row>
    <row r="145" spans="1:5" s="22" customFormat="1" x14ac:dyDescent="0.35">
      <c r="A145" s="21"/>
      <c r="C145" s="23"/>
      <c r="D145" s="24"/>
      <c r="E145" s="23"/>
    </row>
    <row r="146" spans="1:5" s="22" customFormat="1" x14ac:dyDescent="0.35">
      <c r="A146" s="21"/>
      <c r="C146" s="23"/>
      <c r="D146" s="24"/>
      <c r="E146" s="23"/>
    </row>
    <row r="147" spans="1:5" s="22" customFormat="1" x14ac:dyDescent="0.35">
      <c r="A147" s="21"/>
      <c r="C147" s="23"/>
      <c r="D147" s="24"/>
      <c r="E147" s="23"/>
    </row>
    <row r="148" spans="1:5" s="22" customFormat="1" x14ac:dyDescent="0.35">
      <c r="A148" s="21"/>
      <c r="C148" s="23"/>
      <c r="D148" s="24"/>
      <c r="E148" s="23"/>
    </row>
    <row r="149" spans="1:5" s="22" customFormat="1" x14ac:dyDescent="0.35">
      <c r="A149" s="21"/>
      <c r="C149" s="23"/>
      <c r="D149" s="24"/>
      <c r="E149" s="23"/>
    </row>
    <row r="150" spans="1:5" s="22" customFormat="1" x14ac:dyDescent="0.35">
      <c r="A150" s="21"/>
      <c r="C150" s="23"/>
      <c r="D150" s="24"/>
      <c r="E150" s="23"/>
    </row>
    <row r="151" spans="1:5" s="22" customFormat="1" x14ac:dyDescent="0.35">
      <c r="A151" s="21"/>
      <c r="C151" s="23"/>
      <c r="D151" s="24"/>
      <c r="E151" s="23"/>
    </row>
    <row r="152" spans="1:5" s="22" customFormat="1" x14ac:dyDescent="0.35">
      <c r="A152" s="21"/>
      <c r="C152" s="23"/>
      <c r="D152" s="24"/>
      <c r="E152" s="23"/>
    </row>
    <row r="153" spans="1:5" s="22" customFormat="1" x14ac:dyDescent="0.35">
      <c r="A153" s="21"/>
      <c r="C153" s="23"/>
      <c r="D153" s="24"/>
      <c r="E153" s="23"/>
    </row>
    <row r="154" spans="1:5" s="22" customFormat="1" x14ac:dyDescent="0.35">
      <c r="A154" s="21"/>
      <c r="C154" s="23"/>
      <c r="D154" s="24"/>
      <c r="E154" s="23"/>
    </row>
    <row r="155" spans="1:5" s="22" customFormat="1" x14ac:dyDescent="0.35">
      <c r="A155" s="21"/>
      <c r="C155" s="23"/>
      <c r="D155" s="24"/>
      <c r="E155" s="23"/>
    </row>
    <row r="156" spans="1:5" s="22" customFormat="1" x14ac:dyDescent="0.35">
      <c r="A156" s="21"/>
      <c r="C156" s="23"/>
      <c r="D156" s="24"/>
      <c r="E156" s="23"/>
    </row>
    <row r="157" spans="1:5" s="22" customFormat="1" x14ac:dyDescent="0.35">
      <c r="A157" s="21"/>
      <c r="C157" s="23"/>
      <c r="D157" s="24"/>
      <c r="E157" s="23"/>
    </row>
    <row r="158" spans="1:5" s="22" customFormat="1" x14ac:dyDescent="0.35">
      <c r="A158" s="21"/>
      <c r="C158" s="23"/>
      <c r="D158" s="24"/>
      <c r="E158" s="23"/>
    </row>
    <row r="159" spans="1:5" s="22" customFormat="1" x14ac:dyDescent="0.35">
      <c r="A159" s="21"/>
      <c r="C159" s="23"/>
      <c r="D159" s="24"/>
      <c r="E159" s="23"/>
    </row>
    <row r="160" spans="1:5" s="22" customFormat="1" x14ac:dyDescent="0.35">
      <c r="A160" s="21"/>
      <c r="C160" s="23"/>
      <c r="D160" s="24"/>
      <c r="E160" s="23"/>
    </row>
    <row r="161" spans="1:5" s="22" customFormat="1" x14ac:dyDescent="0.35">
      <c r="A161" s="21"/>
      <c r="C161" s="23"/>
      <c r="D161" s="24"/>
      <c r="E161" s="23"/>
    </row>
    <row r="162" spans="1:5" s="22" customFormat="1" x14ac:dyDescent="0.35">
      <c r="A162" s="21"/>
      <c r="C162" s="23"/>
      <c r="D162" s="24"/>
      <c r="E162" s="23"/>
    </row>
    <row r="163" spans="1:5" s="22" customFormat="1" x14ac:dyDescent="0.35">
      <c r="A163" s="21"/>
      <c r="C163" s="23"/>
      <c r="D163" s="24"/>
      <c r="E163" s="23"/>
    </row>
    <row r="164" spans="1:5" s="22" customFormat="1" x14ac:dyDescent="0.35">
      <c r="A164" s="21"/>
      <c r="C164" s="23"/>
      <c r="D164" s="24"/>
      <c r="E164" s="23"/>
    </row>
    <row r="165" spans="1:5" s="22" customFormat="1" x14ac:dyDescent="0.35">
      <c r="A165" s="21"/>
      <c r="C165" s="23"/>
      <c r="D165" s="24"/>
      <c r="E165" s="23"/>
    </row>
    <row r="166" spans="1:5" s="22" customFormat="1" x14ac:dyDescent="0.35">
      <c r="A166" s="21"/>
      <c r="C166" s="23"/>
      <c r="D166" s="24"/>
      <c r="E166" s="23"/>
    </row>
    <row r="167" spans="1:5" s="22" customFormat="1" x14ac:dyDescent="0.35">
      <c r="A167" s="21"/>
      <c r="C167" s="23"/>
      <c r="D167" s="24"/>
      <c r="E167" s="23"/>
    </row>
    <row r="168" spans="1:5" s="22" customFormat="1" x14ac:dyDescent="0.35">
      <c r="A168" s="21"/>
      <c r="C168" s="23"/>
      <c r="D168" s="24"/>
      <c r="E168" s="23"/>
    </row>
    <row r="169" spans="1:5" s="22" customFormat="1" x14ac:dyDescent="0.35">
      <c r="A169" s="21"/>
      <c r="C169" s="23"/>
      <c r="D169" s="24"/>
      <c r="E169" s="23"/>
    </row>
    <row r="170" spans="1:5" s="22" customFormat="1" x14ac:dyDescent="0.35">
      <c r="A170" s="21"/>
      <c r="C170" s="23"/>
      <c r="D170" s="24"/>
      <c r="E170" s="23"/>
    </row>
    <row r="171" spans="1:5" s="22" customFormat="1" x14ac:dyDescent="0.35">
      <c r="A171" s="21"/>
      <c r="C171" s="23"/>
      <c r="D171" s="24"/>
      <c r="E171" s="23"/>
    </row>
    <row r="172" spans="1:5" s="22" customFormat="1" x14ac:dyDescent="0.35">
      <c r="A172" s="21"/>
      <c r="C172" s="23"/>
      <c r="D172" s="24"/>
      <c r="E172" s="23"/>
    </row>
    <row r="173" spans="1:5" s="22" customFormat="1" x14ac:dyDescent="0.35">
      <c r="A173" s="21"/>
      <c r="C173" s="23"/>
      <c r="D173" s="24"/>
      <c r="E173" s="23"/>
    </row>
    <row r="174" spans="1:5" s="22" customFormat="1" x14ac:dyDescent="0.35">
      <c r="A174" s="21"/>
      <c r="C174" s="23"/>
      <c r="D174" s="24"/>
      <c r="E174" s="23"/>
    </row>
    <row r="175" spans="1:5" s="22" customFormat="1" x14ac:dyDescent="0.35">
      <c r="A175" s="21"/>
      <c r="C175" s="23"/>
      <c r="D175" s="24"/>
      <c r="E175" s="23"/>
    </row>
    <row r="176" spans="1:5" s="22" customFormat="1" x14ac:dyDescent="0.35">
      <c r="A176" s="21"/>
      <c r="C176" s="23"/>
      <c r="D176" s="24"/>
      <c r="E176" s="23"/>
    </row>
    <row r="177" spans="1:5" s="22" customFormat="1" x14ac:dyDescent="0.35">
      <c r="A177" s="21"/>
      <c r="C177" s="23"/>
      <c r="D177" s="24"/>
      <c r="E177" s="23"/>
    </row>
    <row r="178" spans="1:5" s="22" customFormat="1" x14ac:dyDescent="0.35">
      <c r="A178" s="21"/>
      <c r="C178" s="23"/>
      <c r="D178" s="24"/>
      <c r="E178" s="23"/>
    </row>
    <row r="179" spans="1:5" s="22" customFormat="1" x14ac:dyDescent="0.35">
      <c r="A179" s="21"/>
      <c r="C179" s="23"/>
      <c r="D179" s="24"/>
      <c r="E179" s="23"/>
    </row>
    <row r="180" spans="1:5" s="22" customFormat="1" x14ac:dyDescent="0.35">
      <c r="A180" s="21"/>
      <c r="C180" s="23"/>
      <c r="D180" s="24"/>
      <c r="E180" s="23"/>
    </row>
    <row r="181" spans="1:5" s="22" customFormat="1" x14ac:dyDescent="0.35">
      <c r="A181" s="21"/>
      <c r="C181" s="23"/>
      <c r="D181" s="24"/>
      <c r="E181" s="23"/>
    </row>
    <row r="182" spans="1:5" s="22" customFormat="1" x14ac:dyDescent="0.35">
      <c r="A182" s="21"/>
      <c r="C182" s="23"/>
      <c r="D182" s="24"/>
      <c r="E182" s="23"/>
    </row>
    <row r="183" spans="1:5" s="22" customFormat="1" x14ac:dyDescent="0.35">
      <c r="A183" s="21"/>
      <c r="C183" s="23"/>
      <c r="D183" s="24"/>
      <c r="E183" s="23"/>
    </row>
    <row r="184" spans="1:5" s="22" customFormat="1" x14ac:dyDescent="0.35">
      <c r="A184" s="21"/>
      <c r="C184" s="23"/>
      <c r="D184" s="24"/>
      <c r="E184" s="23"/>
    </row>
    <row r="185" spans="1:5" s="22" customFormat="1" x14ac:dyDescent="0.35">
      <c r="A185" s="21"/>
      <c r="C185" s="23"/>
      <c r="D185" s="24"/>
      <c r="E185" s="23"/>
    </row>
    <row r="186" spans="1:5" s="22" customFormat="1" x14ac:dyDescent="0.35">
      <c r="A186" s="21"/>
      <c r="C186" s="23"/>
      <c r="D186" s="24"/>
      <c r="E186" s="23"/>
    </row>
    <row r="187" spans="1:5" s="22" customFormat="1" x14ac:dyDescent="0.35">
      <c r="A187" s="21"/>
      <c r="C187" s="23"/>
      <c r="D187" s="24"/>
      <c r="E187" s="23"/>
    </row>
    <row r="188" spans="1:5" s="22" customFormat="1" x14ac:dyDescent="0.35">
      <c r="A188" s="21"/>
      <c r="C188" s="23"/>
      <c r="D188" s="24"/>
      <c r="E188" s="23"/>
    </row>
    <row r="189" spans="1:5" s="22" customFormat="1" x14ac:dyDescent="0.35">
      <c r="A189" s="21"/>
      <c r="C189" s="23"/>
      <c r="D189" s="24"/>
      <c r="E189" s="23"/>
    </row>
    <row r="190" spans="1:5" s="22" customFormat="1" x14ac:dyDescent="0.35">
      <c r="A190" s="21"/>
      <c r="C190" s="23"/>
      <c r="D190" s="24"/>
      <c r="E190" s="23"/>
    </row>
    <row r="191" spans="1:5" s="22" customFormat="1" x14ac:dyDescent="0.35">
      <c r="A191" s="21"/>
      <c r="C191" s="23"/>
      <c r="D191" s="24"/>
      <c r="E191" s="23"/>
    </row>
    <row r="192" spans="1:5" s="22" customFormat="1" x14ac:dyDescent="0.35">
      <c r="A192" s="21"/>
      <c r="C192" s="23"/>
      <c r="D192" s="24"/>
      <c r="E192" s="23"/>
    </row>
    <row r="193" spans="1:5" s="22" customFormat="1" x14ac:dyDescent="0.35">
      <c r="A193" s="21"/>
      <c r="C193" s="23"/>
      <c r="D193" s="24"/>
      <c r="E193" s="23"/>
    </row>
    <row r="194" spans="1:5" s="22" customFormat="1" x14ac:dyDescent="0.35">
      <c r="A194" s="21"/>
      <c r="C194" s="23"/>
      <c r="D194" s="24"/>
      <c r="E194" s="23"/>
    </row>
    <row r="195" spans="1:5" s="22" customFormat="1" x14ac:dyDescent="0.35">
      <c r="A195" s="21"/>
      <c r="C195" s="23"/>
      <c r="D195" s="24"/>
      <c r="E195" s="23"/>
    </row>
    <row r="196" spans="1:5" s="22" customFormat="1" x14ac:dyDescent="0.35">
      <c r="A196" s="21"/>
      <c r="C196" s="23"/>
      <c r="D196" s="24"/>
      <c r="E196" s="23"/>
    </row>
    <row r="197" spans="1:5" s="22" customFormat="1" x14ac:dyDescent="0.35">
      <c r="A197" s="21"/>
      <c r="C197" s="23"/>
      <c r="D197" s="24"/>
      <c r="E197" s="23"/>
    </row>
    <row r="198" spans="1:5" s="22" customFormat="1" x14ac:dyDescent="0.35">
      <c r="A198" s="21"/>
      <c r="C198" s="23"/>
      <c r="D198" s="24"/>
      <c r="E198" s="23"/>
    </row>
    <row r="199" spans="1:5" s="22" customFormat="1" x14ac:dyDescent="0.35">
      <c r="A199" s="21"/>
      <c r="C199" s="23"/>
      <c r="D199" s="24"/>
      <c r="E199" s="23"/>
    </row>
    <row r="200" spans="1:5" s="22" customFormat="1" x14ac:dyDescent="0.35">
      <c r="A200" s="21"/>
      <c r="C200" s="23"/>
      <c r="D200" s="24"/>
      <c r="E200" s="23"/>
    </row>
    <row r="201" spans="1:5" s="22" customFormat="1" x14ac:dyDescent="0.35">
      <c r="A201" s="21"/>
      <c r="C201" s="23"/>
      <c r="D201" s="24"/>
      <c r="E201" s="23"/>
    </row>
    <row r="202" spans="1:5" s="22" customFormat="1" x14ac:dyDescent="0.35">
      <c r="A202" s="21"/>
      <c r="C202" s="23"/>
      <c r="D202" s="24"/>
      <c r="E202" s="23"/>
    </row>
    <row r="203" spans="1:5" s="22" customFormat="1" x14ac:dyDescent="0.35">
      <c r="A203" s="21"/>
      <c r="C203" s="23"/>
      <c r="D203" s="24"/>
      <c r="E203" s="23"/>
    </row>
    <row r="204" spans="1:5" s="22" customFormat="1" x14ac:dyDescent="0.35">
      <c r="A204" s="21"/>
      <c r="C204" s="23"/>
      <c r="D204" s="24"/>
      <c r="E204" s="23"/>
    </row>
    <row r="205" spans="1:5" s="22" customFormat="1" x14ac:dyDescent="0.35">
      <c r="A205" s="21"/>
      <c r="C205" s="23"/>
      <c r="D205" s="24"/>
      <c r="E205" s="23"/>
    </row>
    <row r="206" spans="1:5" s="22" customFormat="1" x14ac:dyDescent="0.35">
      <c r="A206" s="21"/>
      <c r="C206" s="23"/>
      <c r="D206" s="24"/>
      <c r="E206" s="23"/>
    </row>
    <row r="207" spans="1:5" s="22" customFormat="1" x14ac:dyDescent="0.35">
      <c r="A207" s="21"/>
      <c r="C207" s="23"/>
      <c r="D207" s="24"/>
      <c r="E207" s="23"/>
    </row>
    <row r="208" spans="1:5" s="22" customFormat="1" x14ac:dyDescent="0.35">
      <c r="A208" s="21"/>
      <c r="C208" s="23"/>
      <c r="D208" s="24"/>
      <c r="E208" s="23"/>
    </row>
    <row r="209" spans="1:5" s="22" customFormat="1" x14ac:dyDescent="0.35">
      <c r="A209" s="21"/>
      <c r="C209" s="23"/>
      <c r="D209" s="24"/>
      <c r="E209" s="23"/>
    </row>
    <row r="210" spans="1:5" s="22" customFormat="1" x14ac:dyDescent="0.35">
      <c r="A210" s="21"/>
      <c r="C210" s="23"/>
      <c r="D210" s="24"/>
      <c r="E210" s="23"/>
    </row>
    <row r="211" spans="1:5" s="22" customFormat="1" x14ac:dyDescent="0.35">
      <c r="A211" s="21"/>
      <c r="C211" s="23"/>
      <c r="D211" s="24"/>
      <c r="E211" s="23"/>
    </row>
    <row r="212" spans="1:5" s="22" customFormat="1" x14ac:dyDescent="0.35">
      <c r="A212" s="21"/>
      <c r="C212" s="23"/>
      <c r="D212" s="24"/>
      <c r="E212" s="23"/>
    </row>
    <row r="213" spans="1:5" s="22" customFormat="1" x14ac:dyDescent="0.35">
      <c r="A213" s="21"/>
      <c r="C213" s="23"/>
      <c r="D213" s="24"/>
      <c r="E213" s="23"/>
    </row>
    <row r="214" spans="1:5" s="22" customFormat="1" x14ac:dyDescent="0.35">
      <c r="A214" s="21"/>
      <c r="C214" s="23"/>
      <c r="D214" s="24"/>
      <c r="E214" s="23"/>
    </row>
    <row r="215" spans="1:5" s="22" customFormat="1" x14ac:dyDescent="0.35">
      <c r="A215" s="21"/>
      <c r="C215" s="23"/>
      <c r="D215" s="24"/>
      <c r="E215" s="23"/>
    </row>
    <row r="216" spans="1:5" s="22" customFormat="1" x14ac:dyDescent="0.35">
      <c r="A216" s="21"/>
      <c r="C216" s="23"/>
      <c r="D216" s="24"/>
      <c r="E216" s="23"/>
    </row>
    <row r="217" spans="1:5" s="22" customFormat="1" x14ac:dyDescent="0.35">
      <c r="A217" s="21"/>
      <c r="C217" s="23"/>
      <c r="D217" s="24"/>
      <c r="E217" s="23"/>
    </row>
    <row r="218" spans="1:5" s="22" customFormat="1" x14ac:dyDescent="0.35">
      <c r="A218" s="21"/>
      <c r="C218" s="23"/>
      <c r="D218" s="24"/>
      <c r="E218" s="23"/>
    </row>
    <row r="219" spans="1:5" s="22" customFormat="1" x14ac:dyDescent="0.35">
      <c r="A219" s="21"/>
      <c r="C219" s="23"/>
      <c r="D219" s="24"/>
      <c r="E219" s="23"/>
    </row>
    <row r="220" spans="1:5" s="22" customFormat="1" x14ac:dyDescent="0.35">
      <c r="A220" s="21"/>
      <c r="C220" s="23"/>
      <c r="D220" s="24"/>
      <c r="E220" s="23"/>
    </row>
    <row r="221" spans="1:5" s="22" customFormat="1" x14ac:dyDescent="0.35">
      <c r="A221" s="21"/>
      <c r="C221" s="23"/>
      <c r="D221" s="24"/>
      <c r="E221" s="23"/>
    </row>
    <row r="222" spans="1:5" s="22" customFormat="1" x14ac:dyDescent="0.35">
      <c r="A222" s="21"/>
      <c r="C222" s="23"/>
      <c r="D222" s="24"/>
      <c r="E222" s="23"/>
    </row>
    <row r="223" spans="1:5" s="22" customFormat="1" x14ac:dyDescent="0.35">
      <c r="A223" s="21"/>
      <c r="C223" s="23"/>
      <c r="D223" s="24"/>
      <c r="E223" s="23"/>
    </row>
    <row r="224" spans="1:5" s="22" customFormat="1" x14ac:dyDescent="0.35">
      <c r="A224" s="21"/>
      <c r="C224" s="23"/>
      <c r="D224" s="24"/>
      <c r="E224" s="23"/>
    </row>
    <row r="225" spans="1:5" s="22" customFormat="1" x14ac:dyDescent="0.35">
      <c r="A225" s="21"/>
      <c r="C225" s="23"/>
      <c r="D225" s="24"/>
      <c r="E225" s="23"/>
    </row>
    <row r="226" spans="1:5" s="22" customFormat="1" x14ac:dyDescent="0.35">
      <c r="A226" s="21"/>
      <c r="C226" s="23"/>
      <c r="D226" s="24"/>
      <c r="E226" s="23"/>
    </row>
    <row r="227" spans="1:5" s="22" customFormat="1" x14ac:dyDescent="0.35">
      <c r="A227" s="21"/>
      <c r="C227" s="23"/>
      <c r="D227" s="24"/>
      <c r="E227" s="23"/>
    </row>
    <row r="228" spans="1:5" s="22" customFormat="1" x14ac:dyDescent="0.35">
      <c r="A228" s="21"/>
      <c r="C228" s="23"/>
      <c r="D228" s="24"/>
      <c r="E228" s="23"/>
    </row>
    <row r="229" spans="1:5" s="22" customFormat="1" x14ac:dyDescent="0.35">
      <c r="A229" s="21"/>
      <c r="C229" s="23"/>
      <c r="D229" s="24"/>
      <c r="E229" s="23"/>
    </row>
    <row r="230" spans="1:5" s="22" customFormat="1" x14ac:dyDescent="0.35">
      <c r="A230" s="21"/>
      <c r="C230" s="23"/>
      <c r="D230" s="24"/>
      <c r="E230" s="23"/>
    </row>
    <row r="231" spans="1:5" s="22" customFormat="1" x14ac:dyDescent="0.35">
      <c r="A231" s="21"/>
      <c r="C231" s="23"/>
      <c r="D231" s="24"/>
      <c r="E231" s="23"/>
    </row>
    <row r="232" spans="1:5" s="22" customFormat="1" x14ac:dyDescent="0.35">
      <c r="A232" s="21"/>
      <c r="C232" s="23"/>
      <c r="D232" s="24"/>
      <c r="E232" s="23"/>
    </row>
    <row r="233" spans="1:5" s="22" customFormat="1" x14ac:dyDescent="0.35">
      <c r="A233" s="21"/>
      <c r="C233" s="23"/>
      <c r="D233" s="24"/>
      <c r="E233" s="23"/>
    </row>
    <row r="234" spans="1:5" s="22" customFormat="1" x14ac:dyDescent="0.35">
      <c r="A234" s="21"/>
      <c r="C234" s="23"/>
      <c r="D234" s="24"/>
      <c r="E234" s="23"/>
    </row>
    <row r="235" spans="1:5" s="22" customFormat="1" x14ac:dyDescent="0.35">
      <c r="A235" s="21"/>
      <c r="C235" s="23"/>
      <c r="D235" s="24"/>
      <c r="E235" s="23"/>
    </row>
    <row r="236" spans="1:5" s="22" customFormat="1" x14ac:dyDescent="0.35">
      <c r="A236" s="21"/>
      <c r="C236" s="23"/>
      <c r="D236" s="24"/>
      <c r="E236" s="23"/>
    </row>
    <row r="237" spans="1:5" s="22" customFormat="1" x14ac:dyDescent="0.35">
      <c r="A237" s="21"/>
      <c r="C237" s="23"/>
      <c r="D237" s="24"/>
      <c r="E237" s="23"/>
    </row>
    <row r="238" spans="1:5" s="22" customFormat="1" x14ac:dyDescent="0.35">
      <c r="A238" s="21"/>
      <c r="C238" s="23"/>
      <c r="D238" s="24"/>
      <c r="E238" s="23"/>
    </row>
    <row r="239" spans="1:5" s="22" customFormat="1" x14ac:dyDescent="0.35">
      <c r="A239" s="21"/>
      <c r="C239" s="23"/>
      <c r="D239" s="24"/>
      <c r="E239" s="23"/>
    </row>
    <row r="240" spans="1:5" s="22" customFormat="1" x14ac:dyDescent="0.35">
      <c r="A240" s="21"/>
      <c r="C240" s="23"/>
      <c r="D240" s="24"/>
      <c r="E240" s="23"/>
    </row>
    <row r="241" spans="1:5" s="22" customFormat="1" x14ac:dyDescent="0.35">
      <c r="A241" s="21"/>
      <c r="C241" s="23"/>
      <c r="D241" s="24"/>
      <c r="E241" s="23"/>
    </row>
    <row r="242" spans="1:5" s="22" customFormat="1" x14ac:dyDescent="0.35">
      <c r="A242" s="21"/>
      <c r="C242" s="23"/>
      <c r="D242" s="24"/>
      <c r="E242" s="23"/>
    </row>
    <row r="243" spans="1:5" s="22" customFormat="1" x14ac:dyDescent="0.35">
      <c r="A243" s="21"/>
      <c r="C243" s="23"/>
      <c r="D243" s="24"/>
      <c r="E243" s="23"/>
    </row>
    <row r="244" spans="1:5" s="22" customFormat="1" x14ac:dyDescent="0.35">
      <c r="A244" s="21"/>
      <c r="C244" s="23"/>
      <c r="D244" s="24"/>
      <c r="E244" s="23"/>
    </row>
    <row r="245" spans="1:5" s="22" customFormat="1" x14ac:dyDescent="0.35">
      <c r="A245" s="21"/>
      <c r="C245" s="23"/>
      <c r="D245" s="24"/>
      <c r="E245" s="23"/>
    </row>
    <row r="246" spans="1:5" s="22" customFormat="1" x14ac:dyDescent="0.35">
      <c r="A246" s="21"/>
      <c r="C246" s="23"/>
      <c r="D246" s="24"/>
      <c r="E246" s="23"/>
    </row>
    <row r="247" spans="1:5" s="22" customFormat="1" x14ac:dyDescent="0.35">
      <c r="A247" s="21"/>
      <c r="C247" s="23"/>
      <c r="D247" s="24"/>
      <c r="E247" s="23"/>
    </row>
    <row r="248" spans="1:5" s="22" customFormat="1" x14ac:dyDescent="0.35">
      <c r="A248" s="21"/>
      <c r="C248" s="23"/>
      <c r="D248" s="24"/>
      <c r="E248" s="23"/>
    </row>
    <row r="249" spans="1:5" s="22" customFormat="1" x14ac:dyDescent="0.35">
      <c r="A249" s="21"/>
      <c r="C249" s="23"/>
      <c r="D249" s="24"/>
      <c r="E249" s="23"/>
    </row>
    <row r="250" spans="1:5" s="22" customFormat="1" x14ac:dyDescent="0.35">
      <c r="A250" s="21"/>
      <c r="C250" s="23"/>
      <c r="D250" s="24"/>
      <c r="E250" s="23"/>
    </row>
    <row r="251" spans="1:5" s="22" customFormat="1" x14ac:dyDescent="0.35">
      <c r="A251" s="21"/>
      <c r="C251" s="23"/>
      <c r="D251" s="24"/>
      <c r="E251" s="23"/>
    </row>
    <row r="252" spans="1:5" s="22" customFormat="1" x14ac:dyDescent="0.35">
      <c r="A252" s="21"/>
      <c r="C252" s="23"/>
      <c r="D252" s="24"/>
      <c r="E252" s="23"/>
    </row>
    <row r="253" spans="1:5" s="22" customFormat="1" x14ac:dyDescent="0.35">
      <c r="A253" s="21"/>
      <c r="C253" s="23"/>
      <c r="D253" s="24"/>
      <c r="E253" s="23"/>
    </row>
    <row r="254" spans="1:5" s="22" customFormat="1" x14ac:dyDescent="0.35">
      <c r="A254" s="21"/>
      <c r="C254" s="23"/>
      <c r="D254" s="24"/>
      <c r="E254" s="23"/>
    </row>
    <row r="255" spans="1:5" s="22" customFormat="1" x14ac:dyDescent="0.35">
      <c r="A255" s="21"/>
      <c r="C255" s="23"/>
      <c r="D255" s="24"/>
      <c r="E255" s="23"/>
    </row>
    <row r="256" spans="1:5" s="22" customFormat="1" x14ac:dyDescent="0.35">
      <c r="A256" s="21"/>
      <c r="C256" s="23"/>
      <c r="D256" s="24"/>
      <c r="E256" s="23"/>
    </row>
    <row r="257" spans="1:5" s="22" customFormat="1" x14ac:dyDescent="0.35">
      <c r="A257" s="21"/>
      <c r="C257" s="23"/>
      <c r="D257" s="24"/>
      <c r="E257" s="23"/>
    </row>
    <row r="258" spans="1:5" s="22" customFormat="1" x14ac:dyDescent="0.35">
      <c r="A258" s="21"/>
      <c r="C258" s="23"/>
      <c r="D258" s="24"/>
      <c r="E258" s="23"/>
    </row>
    <row r="259" spans="1:5" s="22" customFormat="1" x14ac:dyDescent="0.35">
      <c r="A259" s="21"/>
      <c r="C259" s="23"/>
      <c r="D259" s="24"/>
      <c r="E259" s="23"/>
    </row>
    <row r="260" spans="1:5" s="22" customFormat="1" x14ac:dyDescent="0.35">
      <c r="A260" s="21"/>
      <c r="C260" s="23"/>
      <c r="D260" s="24"/>
      <c r="E260" s="23"/>
    </row>
    <row r="261" spans="1:5" s="22" customFormat="1" x14ac:dyDescent="0.35">
      <c r="A261" s="21"/>
      <c r="C261" s="23"/>
      <c r="D261" s="24"/>
      <c r="E261" s="23"/>
    </row>
    <row r="262" spans="1:5" s="22" customFormat="1" x14ac:dyDescent="0.35">
      <c r="A262" s="21"/>
      <c r="C262" s="23"/>
      <c r="D262" s="24"/>
      <c r="E262" s="23"/>
    </row>
    <row r="263" spans="1:5" s="22" customFormat="1" x14ac:dyDescent="0.35">
      <c r="A263" s="21"/>
      <c r="C263" s="23"/>
      <c r="D263" s="24"/>
      <c r="E263" s="23"/>
    </row>
    <row r="264" spans="1:5" s="22" customFormat="1" x14ac:dyDescent="0.35">
      <c r="A264" s="21"/>
      <c r="C264" s="23"/>
      <c r="D264" s="24"/>
      <c r="E264" s="23"/>
    </row>
    <row r="265" spans="1:5" s="22" customFormat="1" x14ac:dyDescent="0.35">
      <c r="A265" s="21"/>
      <c r="C265" s="23"/>
      <c r="D265" s="24"/>
      <c r="E265" s="23"/>
    </row>
    <row r="266" spans="1:5" s="22" customFormat="1" x14ac:dyDescent="0.35">
      <c r="A266" s="21"/>
      <c r="C266" s="23"/>
      <c r="D266" s="24"/>
      <c r="E266" s="23"/>
    </row>
    <row r="267" spans="1:5" s="22" customFormat="1" x14ac:dyDescent="0.35">
      <c r="A267" s="21"/>
      <c r="C267" s="23"/>
      <c r="D267" s="24"/>
      <c r="E267" s="23"/>
    </row>
    <row r="268" spans="1:5" s="22" customFormat="1" x14ac:dyDescent="0.35">
      <c r="A268" s="21"/>
      <c r="C268" s="23"/>
      <c r="D268" s="24"/>
      <c r="E268" s="23"/>
    </row>
    <row r="269" spans="1:5" s="22" customFormat="1" x14ac:dyDescent="0.35">
      <c r="A269" s="21"/>
      <c r="C269" s="23"/>
      <c r="D269" s="24"/>
      <c r="E269" s="23"/>
    </row>
    <row r="270" spans="1:5" s="22" customFormat="1" x14ac:dyDescent="0.35">
      <c r="A270" s="21"/>
      <c r="C270" s="23"/>
      <c r="D270" s="24"/>
      <c r="E270" s="23"/>
    </row>
    <row r="271" spans="1:5" s="22" customFormat="1" x14ac:dyDescent="0.35">
      <c r="A271" s="21"/>
      <c r="C271" s="23"/>
      <c r="D271" s="24"/>
      <c r="E271" s="23"/>
    </row>
    <row r="272" spans="1:5" s="22" customFormat="1" x14ac:dyDescent="0.35">
      <c r="A272" s="21"/>
      <c r="C272" s="23"/>
      <c r="D272" s="24"/>
      <c r="E272" s="23"/>
    </row>
    <row r="273" spans="1:5" s="22" customFormat="1" x14ac:dyDescent="0.35">
      <c r="A273" s="21"/>
      <c r="C273" s="23"/>
      <c r="D273" s="24"/>
      <c r="E273" s="23"/>
    </row>
    <row r="274" spans="1:5" s="22" customFormat="1" x14ac:dyDescent="0.35">
      <c r="A274" s="21"/>
      <c r="C274" s="23"/>
      <c r="D274" s="24"/>
      <c r="E274" s="23"/>
    </row>
    <row r="275" spans="1:5" s="22" customFormat="1" x14ac:dyDescent="0.35">
      <c r="A275" s="21"/>
      <c r="C275" s="23"/>
      <c r="D275" s="24"/>
      <c r="E275" s="23"/>
    </row>
    <row r="276" spans="1:5" s="22" customFormat="1" x14ac:dyDescent="0.35">
      <c r="A276" s="21"/>
      <c r="C276" s="23"/>
      <c r="D276" s="24"/>
      <c r="E276" s="23"/>
    </row>
    <row r="277" spans="1:5" s="22" customFormat="1" x14ac:dyDescent="0.35">
      <c r="A277" s="21"/>
      <c r="C277" s="23"/>
      <c r="D277" s="24"/>
      <c r="E277" s="23"/>
    </row>
    <row r="278" spans="1:5" s="22" customFormat="1" x14ac:dyDescent="0.35">
      <c r="A278" s="21"/>
      <c r="C278" s="23"/>
      <c r="D278" s="24"/>
      <c r="E278" s="23"/>
    </row>
    <row r="279" spans="1:5" s="22" customFormat="1" x14ac:dyDescent="0.35">
      <c r="A279" s="21"/>
      <c r="C279" s="23"/>
      <c r="D279" s="24"/>
      <c r="E279" s="23"/>
    </row>
    <row r="280" spans="1:5" s="22" customFormat="1" x14ac:dyDescent="0.35">
      <c r="A280" s="21"/>
      <c r="C280" s="23"/>
      <c r="D280" s="24"/>
      <c r="E280" s="23"/>
    </row>
    <row r="281" spans="1:5" s="22" customFormat="1" x14ac:dyDescent="0.35">
      <c r="A281" s="21"/>
      <c r="C281" s="23"/>
      <c r="D281" s="24"/>
      <c r="E281" s="23"/>
    </row>
    <row r="282" spans="1:5" s="22" customFormat="1" x14ac:dyDescent="0.35">
      <c r="A282" s="21"/>
      <c r="C282" s="23"/>
      <c r="D282" s="24"/>
      <c r="E282" s="23"/>
    </row>
    <row r="283" spans="1:5" s="22" customFormat="1" x14ac:dyDescent="0.35">
      <c r="A283" s="21"/>
      <c r="C283" s="23"/>
      <c r="D283" s="24"/>
      <c r="E283" s="23"/>
    </row>
    <row r="284" spans="1:5" s="22" customFormat="1" x14ac:dyDescent="0.35">
      <c r="A284" s="21"/>
      <c r="C284" s="23"/>
      <c r="D284" s="24"/>
      <c r="E284" s="23"/>
    </row>
    <row r="285" spans="1:5" s="22" customFormat="1" x14ac:dyDescent="0.35">
      <c r="A285" s="21"/>
      <c r="C285" s="23"/>
      <c r="D285" s="24"/>
      <c r="E285" s="23"/>
    </row>
    <row r="286" spans="1:5" s="22" customFormat="1" x14ac:dyDescent="0.35">
      <c r="A286" s="21"/>
      <c r="C286" s="23"/>
      <c r="D286" s="24"/>
      <c r="E286" s="23"/>
    </row>
    <row r="287" spans="1:5" s="22" customFormat="1" x14ac:dyDescent="0.35">
      <c r="A287" s="21"/>
      <c r="C287" s="23"/>
      <c r="D287" s="24"/>
      <c r="E287" s="23"/>
    </row>
    <row r="288" spans="1:5" s="22" customFormat="1" x14ac:dyDescent="0.35">
      <c r="A288" s="21"/>
      <c r="C288" s="23"/>
      <c r="D288" s="24"/>
      <c r="E288" s="23"/>
    </row>
    <row r="289" spans="1:5" s="22" customFormat="1" x14ac:dyDescent="0.35">
      <c r="A289" s="21"/>
      <c r="C289" s="23"/>
      <c r="D289" s="24"/>
      <c r="E289" s="23"/>
    </row>
    <row r="290" spans="1:5" s="22" customFormat="1" x14ac:dyDescent="0.35">
      <c r="A290" s="21"/>
      <c r="C290" s="23"/>
      <c r="D290" s="24"/>
      <c r="E290" s="23"/>
    </row>
    <row r="291" spans="1:5" s="22" customFormat="1" x14ac:dyDescent="0.35">
      <c r="A291" s="21"/>
      <c r="C291" s="23"/>
      <c r="D291" s="24"/>
      <c r="E291" s="23"/>
    </row>
    <row r="292" spans="1:5" s="22" customFormat="1" x14ac:dyDescent="0.35">
      <c r="A292" s="21"/>
      <c r="C292" s="23"/>
      <c r="D292" s="24"/>
      <c r="E292" s="23"/>
    </row>
    <row r="293" spans="1:5" s="22" customFormat="1" x14ac:dyDescent="0.35">
      <c r="A293" s="21"/>
      <c r="C293" s="23"/>
      <c r="D293" s="24"/>
      <c r="E293" s="23"/>
    </row>
    <row r="294" spans="1:5" s="22" customFormat="1" x14ac:dyDescent="0.35">
      <c r="A294" s="21"/>
      <c r="C294" s="23"/>
      <c r="D294" s="24"/>
      <c r="E294" s="23"/>
    </row>
    <row r="295" spans="1:5" s="22" customFormat="1" x14ac:dyDescent="0.35">
      <c r="A295" s="21"/>
      <c r="C295" s="23"/>
      <c r="D295" s="24"/>
      <c r="E295" s="23"/>
    </row>
    <row r="296" spans="1:5" s="22" customFormat="1" x14ac:dyDescent="0.35">
      <c r="A296" s="21"/>
      <c r="C296" s="23"/>
      <c r="D296" s="24"/>
      <c r="E296" s="23"/>
    </row>
    <row r="297" spans="1:5" s="22" customFormat="1" x14ac:dyDescent="0.35">
      <c r="A297" s="21"/>
      <c r="C297" s="23"/>
      <c r="D297" s="24"/>
      <c r="E297" s="23"/>
    </row>
    <row r="298" spans="1:5" s="22" customFormat="1" x14ac:dyDescent="0.35">
      <c r="A298" s="21"/>
      <c r="C298" s="23"/>
      <c r="D298" s="24"/>
      <c r="E298" s="23"/>
    </row>
    <row r="299" spans="1:5" s="22" customFormat="1" x14ac:dyDescent="0.35">
      <c r="A299" s="21"/>
      <c r="C299" s="23"/>
      <c r="D299" s="24"/>
      <c r="E299" s="23"/>
    </row>
    <row r="300" spans="1:5" s="22" customFormat="1" x14ac:dyDescent="0.35">
      <c r="A300" s="21"/>
      <c r="C300" s="23"/>
      <c r="D300" s="24"/>
      <c r="E300" s="23"/>
    </row>
    <row r="301" spans="1:5" s="22" customFormat="1" x14ac:dyDescent="0.35">
      <c r="A301" s="21"/>
      <c r="C301" s="23"/>
      <c r="D301" s="24"/>
      <c r="E301" s="23"/>
    </row>
    <row r="302" spans="1:5" s="22" customFormat="1" x14ac:dyDescent="0.35">
      <c r="A302" s="21"/>
      <c r="C302" s="23"/>
      <c r="D302" s="24"/>
      <c r="E302" s="23"/>
    </row>
    <row r="303" spans="1:5" s="22" customFormat="1" x14ac:dyDescent="0.35">
      <c r="A303" s="21"/>
      <c r="C303" s="23"/>
      <c r="D303" s="24"/>
      <c r="E303" s="23"/>
    </row>
    <row r="304" spans="1:5" s="22" customFormat="1" x14ac:dyDescent="0.35">
      <c r="A304" s="21"/>
      <c r="C304" s="23"/>
      <c r="D304" s="24"/>
      <c r="E304" s="23"/>
    </row>
    <row r="305" spans="1:5" s="22" customFormat="1" x14ac:dyDescent="0.35">
      <c r="A305" s="21"/>
      <c r="C305" s="23"/>
      <c r="D305" s="24"/>
      <c r="E305" s="23"/>
    </row>
    <row r="306" spans="1:5" s="22" customFormat="1" x14ac:dyDescent="0.35">
      <c r="A306" s="21"/>
      <c r="C306" s="23"/>
      <c r="D306" s="24"/>
      <c r="E306" s="23"/>
    </row>
    <row r="307" spans="1:5" s="22" customFormat="1" x14ac:dyDescent="0.35">
      <c r="A307" s="21"/>
      <c r="C307" s="23"/>
      <c r="D307" s="24"/>
      <c r="E307" s="23"/>
    </row>
    <row r="308" spans="1:5" s="22" customFormat="1" x14ac:dyDescent="0.35">
      <c r="A308" s="21"/>
      <c r="C308" s="23"/>
      <c r="D308" s="24"/>
      <c r="E308" s="23"/>
    </row>
    <row r="309" spans="1:5" s="22" customFormat="1" x14ac:dyDescent="0.35">
      <c r="A309" s="21"/>
      <c r="C309" s="23"/>
      <c r="D309" s="24"/>
      <c r="E309" s="23"/>
    </row>
    <row r="310" spans="1:5" s="22" customFormat="1" x14ac:dyDescent="0.35">
      <c r="A310" s="21"/>
      <c r="C310" s="23"/>
      <c r="D310" s="24"/>
      <c r="E310" s="23"/>
    </row>
    <row r="311" spans="1:5" s="22" customFormat="1" x14ac:dyDescent="0.35">
      <c r="A311" s="21"/>
      <c r="C311" s="23"/>
      <c r="D311" s="24"/>
      <c r="E311" s="23"/>
    </row>
    <row r="312" spans="1:5" s="22" customFormat="1" x14ac:dyDescent="0.35">
      <c r="A312" s="21"/>
      <c r="C312" s="23"/>
      <c r="D312" s="24"/>
      <c r="E312" s="23"/>
    </row>
    <row r="313" spans="1:5" s="22" customFormat="1" x14ac:dyDescent="0.35">
      <c r="A313" s="21"/>
      <c r="C313" s="23"/>
      <c r="D313" s="24"/>
      <c r="E313" s="23"/>
    </row>
    <row r="314" spans="1:5" s="22" customFormat="1" x14ac:dyDescent="0.35">
      <c r="A314" s="21"/>
      <c r="C314" s="23"/>
      <c r="D314" s="24"/>
      <c r="E314" s="23"/>
    </row>
    <row r="315" spans="1:5" s="22" customFormat="1" x14ac:dyDescent="0.35">
      <c r="A315" s="21"/>
      <c r="C315" s="23"/>
      <c r="D315" s="24"/>
      <c r="E315" s="23"/>
    </row>
    <row r="316" spans="1:5" s="22" customFormat="1" x14ac:dyDescent="0.35">
      <c r="A316" s="21"/>
      <c r="C316" s="23"/>
      <c r="D316" s="24"/>
      <c r="E316" s="23"/>
    </row>
    <row r="317" spans="1:5" s="22" customFormat="1" x14ac:dyDescent="0.35">
      <c r="A317" s="21"/>
      <c r="C317" s="23"/>
      <c r="D317" s="24"/>
      <c r="E317" s="23"/>
    </row>
    <row r="318" spans="1:5" s="22" customFormat="1" x14ac:dyDescent="0.35">
      <c r="A318" s="21"/>
      <c r="C318" s="23"/>
      <c r="D318" s="24"/>
      <c r="E318" s="23"/>
    </row>
    <row r="319" spans="1:5" s="22" customFormat="1" x14ac:dyDescent="0.35">
      <c r="A319" s="21"/>
      <c r="C319" s="23"/>
      <c r="D319" s="24"/>
      <c r="E319" s="23"/>
    </row>
    <row r="320" spans="1:5" s="22" customFormat="1" x14ac:dyDescent="0.35">
      <c r="A320" s="21"/>
      <c r="C320" s="23"/>
      <c r="D320" s="24"/>
      <c r="E320" s="23"/>
    </row>
    <row r="321" spans="1:5" s="22" customFormat="1" x14ac:dyDescent="0.35">
      <c r="A321" s="21"/>
      <c r="C321" s="23"/>
      <c r="D321" s="24"/>
      <c r="E321" s="23"/>
    </row>
    <row r="322" spans="1:5" s="22" customFormat="1" x14ac:dyDescent="0.35">
      <c r="A322" s="21"/>
      <c r="C322" s="23"/>
      <c r="D322" s="24"/>
      <c r="E322" s="23"/>
    </row>
    <row r="323" spans="1:5" s="22" customFormat="1" x14ac:dyDescent="0.35">
      <c r="A323" s="21"/>
      <c r="C323" s="23"/>
      <c r="D323" s="24"/>
      <c r="E323" s="23"/>
    </row>
    <row r="324" spans="1:5" s="22" customFormat="1" x14ac:dyDescent="0.35">
      <c r="A324" s="21"/>
      <c r="C324" s="23"/>
      <c r="D324" s="24"/>
      <c r="E324" s="23"/>
    </row>
    <row r="325" spans="1:5" s="22" customFormat="1" x14ac:dyDescent="0.35">
      <c r="A325" s="21"/>
      <c r="C325" s="23"/>
      <c r="D325" s="24"/>
      <c r="E325" s="23"/>
    </row>
    <row r="326" spans="1:5" s="22" customFormat="1" x14ac:dyDescent="0.35">
      <c r="A326" s="21"/>
      <c r="C326" s="23"/>
      <c r="D326" s="24"/>
      <c r="E326" s="23"/>
    </row>
    <row r="327" spans="1:5" s="22" customFormat="1" x14ac:dyDescent="0.35">
      <c r="A327" s="21"/>
      <c r="C327" s="23"/>
      <c r="D327" s="24"/>
      <c r="E327" s="23"/>
    </row>
    <row r="328" spans="1:5" s="22" customFormat="1" x14ac:dyDescent="0.35">
      <c r="A328" s="21"/>
      <c r="C328" s="23"/>
      <c r="D328" s="24"/>
      <c r="E328" s="23"/>
    </row>
    <row r="329" spans="1:5" s="22" customFormat="1" x14ac:dyDescent="0.35">
      <c r="A329" s="21"/>
      <c r="C329" s="23"/>
      <c r="D329" s="24"/>
      <c r="E329" s="23"/>
    </row>
    <row r="330" spans="1:5" s="22" customFormat="1" x14ac:dyDescent="0.35">
      <c r="A330" s="21"/>
      <c r="C330" s="23"/>
      <c r="D330" s="24"/>
      <c r="E330" s="23"/>
    </row>
    <row r="331" spans="1:5" s="22" customFormat="1" x14ac:dyDescent="0.35">
      <c r="A331" s="21"/>
      <c r="C331" s="23"/>
      <c r="D331" s="24"/>
      <c r="E331" s="23"/>
    </row>
    <row r="332" spans="1:5" s="22" customFormat="1" x14ac:dyDescent="0.35">
      <c r="A332" s="21"/>
      <c r="C332" s="23"/>
      <c r="D332" s="24"/>
      <c r="E332" s="23"/>
    </row>
    <row r="333" spans="1:5" s="22" customFormat="1" x14ac:dyDescent="0.35">
      <c r="A333" s="21"/>
      <c r="C333" s="23"/>
      <c r="D333" s="24"/>
      <c r="E333" s="23"/>
    </row>
    <row r="334" spans="1:5" s="22" customFormat="1" x14ac:dyDescent="0.35">
      <c r="A334" s="21"/>
      <c r="C334" s="23"/>
      <c r="D334" s="24"/>
      <c r="E334" s="23"/>
    </row>
    <row r="335" spans="1:5" s="22" customFormat="1" x14ac:dyDescent="0.35">
      <c r="A335" s="21"/>
      <c r="C335" s="23"/>
      <c r="D335" s="24"/>
      <c r="E335" s="23"/>
    </row>
    <row r="336" spans="1:5" s="22" customFormat="1" x14ac:dyDescent="0.35">
      <c r="A336" s="21"/>
      <c r="C336" s="23"/>
      <c r="D336" s="24"/>
      <c r="E336" s="23"/>
    </row>
    <row r="337" spans="1:5" s="22" customFormat="1" x14ac:dyDescent="0.35">
      <c r="A337" s="21"/>
      <c r="C337" s="23"/>
      <c r="D337" s="24"/>
      <c r="E337" s="23"/>
    </row>
    <row r="338" spans="1:5" s="22" customFormat="1" x14ac:dyDescent="0.35">
      <c r="A338" s="21"/>
      <c r="C338" s="23"/>
      <c r="D338" s="24"/>
      <c r="E338" s="23"/>
    </row>
    <row r="339" spans="1:5" s="22" customFormat="1" x14ac:dyDescent="0.35">
      <c r="A339" s="21"/>
      <c r="C339" s="23"/>
      <c r="D339" s="24"/>
      <c r="E339" s="23"/>
    </row>
    <row r="340" spans="1:5" s="22" customFormat="1" x14ac:dyDescent="0.35">
      <c r="A340" s="21"/>
      <c r="C340" s="23"/>
      <c r="D340" s="24"/>
      <c r="E340" s="23"/>
    </row>
    <row r="341" spans="1:5" s="22" customFormat="1" x14ac:dyDescent="0.35">
      <c r="A341" s="21"/>
      <c r="C341" s="23"/>
      <c r="D341" s="24"/>
      <c r="E341" s="23"/>
    </row>
    <row r="342" spans="1:5" s="22" customFormat="1" x14ac:dyDescent="0.35">
      <c r="A342" s="21"/>
      <c r="C342" s="23"/>
      <c r="D342" s="24"/>
      <c r="E342" s="23"/>
    </row>
    <row r="343" spans="1:5" s="22" customFormat="1" x14ac:dyDescent="0.35">
      <c r="A343" s="21"/>
      <c r="C343" s="23"/>
      <c r="D343" s="24"/>
      <c r="E343" s="23"/>
    </row>
    <row r="344" spans="1:5" s="22" customFormat="1" x14ac:dyDescent="0.35">
      <c r="A344" s="21"/>
      <c r="C344" s="23"/>
      <c r="D344" s="24"/>
      <c r="E344" s="23"/>
    </row>
    <row r="345" spans="1:5" s="22" customFormat="1" x14ac:dyDescent="0.35">
      <c r="A345" s="21"/>
      <c r="C345" s="23"/>
      <c r="D345" s="24"/>
      <c r="E345" s="23"/>
    </row>
    <row r="346" spans="1:5" s="22" customFormat="1" x14ac:dyDescent="0.35">
      <c r="A346" s="21"/>
      <c r="C346" s="23"/>
      <c r="D346" s="24"/>
      <c r="E346" s="23"/>
    </row>
    <row r="347" spans="1:5" s="22" customFormat="1" x14ac:dyDescent="0.35">
      <c r="A347" s="21"/>
      <c r="C347" s="23"/>
      <c r="D347" s="24"/>
      <c r="E347" s="23"/>
    </row>
    <row r="348" spans="1:5" s="22" customFormat="1" x14ac:dyDescent="0.35">
      <c r="A348" s="21"/>
      <c r="C348" s="23"/>
      <c r="D348" s="24"/>
      <c r="E348" s="23"/>
    </row>
    <row r="349" spans="1:5" s="22" customFormat="1" x14ac:dyDescent="0.35">
      <c r="A349" s="21"/>
      <c r="C349" s="23"/>
      <c r="D349" s="24"/>
      <c r="E349" s="23"/>
    </row>
    <row r="350" spans="1:5" s="22" customFormat="1" x14ac:dyDescent="0.35">
      <c r="A350" s="21"/>
      <c r="C350" s="23"/>
      <c r="D350" s="24"/>
      <c r="E350" s="23"/>
    </row>
    <row r="351" spans="1:5" s="22" customFormat="1" x14ac:dyDescent="0.35">
      <c r="A351" s="21"/>
      <c r="C351" s="23"/>
      <c r="D351" s="24"/>
      <c r="E351" s="23"/>
    </row>
    <row r="352" spans="1:5" s="22" customFormat="1" x14ac:dyDescent="0.35">
      <c r="A352" s="21"/>
      <c r="C352" s="23"/>
      <c r="D352" s="24"/>
      <c r="E352" s="23"/>
    </row>
    <row r="353" spans="1:5" s="22" customFormat="1" x14ac:dyDescent="0.35">
      <c r="A353" s="21"/>
      <c r="C353" s="23"/>
      <c r="D353" s="24"/>
      <c r="E353" s="23"/>
    </row>
    <row r="354" spans="1:5" s="22" customFormat="1" x14ac:dyDescent="0.35">
      <c r="A354" s="21"/>
      <c r="C354" s="23"/>
      <c r="D354" s="24"/>
      <c r="E354" s="23"/>
    </row>
    <row r="355" spans="1:5" s="22" customFormat="1" x14ac:dyDescent="0.35">
      <c r="A355" s="21"/>
      <c r="C355" s="23"/>
      <c r="D355" s="24"/>
      <c r="E355" s="23"/>
    </row>
    <row r="356" spans="1:5" s="22" customFormat="1" x14ac:dyDescent="0.35">
      <c r="A356" s="21"/>
      <c r="C356" s="23"/>
      <c r="D356" s="24"/>
      <c r="E356" s="23"/>
    </row>
    <row r="357" spans="1:5" s="22" customFormat="1" x14ac:dyDescent="0.35">
      <c r="A357" s="21"/>
      <c r="C357" s="23"/>
      <c r="D357" s="24"/>
      <c r="E357" s="23"/>
    </row>
    <row r="358" spans="1:5" s="22" customFormat="1" x14ac:dyDescent="0.35">
      <c r="A358" s="21"/>
      <c r="C358" s="23"/>
      <c r="D358" s="24"/>
      <c r="E358" s="23"/>
    </row>
    <row r="359" spans="1:5" s="22" customFormat="1" x14ac:dyDescent="0.35">
      <c r="A359" s="21"/>
      <c r="C359" s="23"/>
      <c r="D359" s="24"/>
      <c r="E359" s="23"/>
    </row>
    <row r="360" spans="1:5" s="22" customFormat="1" x14ac:dyDescent="0.35">
      <c r="A360" s="21"/>
      <c r="C360" s="23"/>
      <c r="D360" s="24"/>
      <c r="E360" s="23"/>
    </row>
    <row r="361" spans="1:5" s="22" customFormat="1" x14ac:dyDescent="0.35">
      <c r="A361" s="21"/>
      <c r="C361" s="23"/>
      <c r="D361" s="24"/>
      <c r="E361" s="23"/>
    </row>
    <row r="362" spans="1:5" s="22" customFormat="1" x14ac:dyDescent="0.35">
      <c r="A362" s="21"/>
      <c r="C362" s="23"/>
      <c r="D362" s="24"/>
      <c r="E362" s="23"/>
    </row>
    <row r="363" spans="1:5" s="22" customFormat="1" x14ac:dyDescent="0.35">
      <c r="A363" s="21"/>
      <c r="C363" s="23"/>
      <c r="D363" s="24"/>
      <c r="E363" s="23"/>
    </row>
    <row r="364" spans="1:5" s="22" customFormat="1" x14ac:dyDescent="0.35">
      <c r="A364" s="21"/>
      <c r="C364" s="23"/>
      <c r="D364" s="24"/>
      <c r="E364" s="23"/>
    </row>
    <row r="365" spans="1:5" s="22" customFormat="1" x14ac:dyDescent="0.35">
      <c r="A365" s="21"/>
      <c r="C365" s="23"/>
      <c r="D365" s="24"/>
      <c r="E365" s="23"/>
    </row>
    <row r="366" spans="1:5" s="22" customFormat="1" x14ac:dyDescent="0.35">
      <c r="A366" s="21"/>
      <c r="C366" s="23"/>
      <c r="D366" s="24"/>
      <c r="E366" s="23"/>
    </row>
    <row r="367" spans="1:5" s="22" customFormat="1" x14ac:dyDescent="0.35">
      <c r="A367" s="21"/>
      <c r="C367" s="23"/>
      <c r="D367" s="24"/>
      <c r="E367" s="23"/>
    </row>
    <row r="368" spans="1:5" s="22" customFormat="1" x14ac:dyDescent="0.35">
      <c r="A368" s="21"/>
      <c r="C368" s="23"/>
      <c r="D368" s="24"/>
      <c r="E368" s="23"/>
    </row>
    <row r="369" spans="1:5" s="22" customFormat="1" x14ac:dyDescent="0.35">
      <c r="A369" s="21"/>
      <c r="C369" s="23"/>
      <c r="D369" s="24"/>
      <c r="E369" s="23"/>
    </row>
    <row r="370" spans="1:5" s="22" customFormat="1" x14ac:dyDescent="0.35">
      <c r="A370" s="21"/>
      <c r="C370" s="23"/>
      <c r="D370" s="24"/>
      <c r="E370" s="23"/>
    </row>
    <row r="371" spans="1:5" s="22" customFormat="1" x14ac:dyDescent="0.35">
      <c r="A371" s="21"/>
      <c r="C371" s="23"/>
      <c r="D371" s="24"/>
      <c r="E371" s="23"/>
    </row>
    <row r="372" spans="1:5" s="22" customFormat="1" x14ac:dyDescent="0.35">
      <c r="A372" s="21"/>
      <c r="C372" s="23"/>
      <c r="D372" s="24"/>
      <c r="E372" s="23"/>
    </row>
    <row r="373" spans="1:5" s="22" customFormat="1" x14ac:dyDescent="0.35">
      <c r="A373" s="21"/>
      <c r="C373" s="23"/>
      <c r="D373" s="24"/>
      <c r="E373" s="23"/>
    </row>
    <row r="374" spans="1:5" s="22" customFormat="1" x14ac:dyDescent="0.35">
      <c r="A374" s="21"/>
      <c r="C374" s="23"/>
      <c r="D374" s="24"/>
      <c r="E374" s="23"/>
    </row>
    <row r="375" spans="1:5" s="22" customFormat="1" x14ac:dyDescent="0.35">
      <c r="A375" s="21"/>
      <c r="C375" s="23"/>
      <c r="D375" s="24"/>
      <c r="E375" s="23"/>
    </row>
    <row r="376" spans="1:5" s="22" customFormat="1" x14ac:dyDescent="0.35">
      <c r="A376" s="21"/>
      <c r="C376" s="23"/>
      <c r="D376" s="24"/>
      <c r="E376" s="23"/>
    </row>
    <row r="377" spans="1:5" s="22" customFormat="1" x14ac:dyDescent="0.35">
      <c r="A377" s="21"/>
      <c r="C377" s="23"/>
      <c r="D377" s="24"/>
      <c r="E377" s="23"/>
    </row>
    <row r="378" spans="1:5" s="22" customFormat="1" x14ac:dyDescent="0.35">
      <c r="A378" s="21"/>
      <c r="C378" s="23"/>
      <c r="D378" s="24"/>
      <c r="E378" s="23"/>
    </row>
    <row r="379" spans="1:5" s="22" customFormat="1" x14ac:dyDescent="0.35">
      <c r="A379" s="21"/>
      <c r="C379" s="23"/>
      <c r="D379" s="24"/>
      <c r="E379" s="23"/>
    </row>
    <row r="380" spans="1:5" s="22" customFormat="1" x14ac:dyDescent="0.35">
      <c r="A380" s="21"/>
      <c r="C380" s="23"/>
      <c r="D380" s="24"/>
      <c r="E380" s="23"/>
    </row>
    <row r="381" spans="1:5" s="22" customFormat="1" x14ac:dyDescent="0.35">
      <c r="A381" s="21"/>
      <c r="C381" s="23"/>
      <c r="D381" s="24"/>
      <c r="E381" s="23"/>
    </row>
    <row r="382" spans="1:5" s="22" customFormat="1" x14ac:dyDescent="0.35">
      <c r="A382" s="21"/>
      <c r="C382" s="23"/>
      <c r="D382" s="24"/>
      <c r="E382" s="23"/>
    </row>
    <row r="383" spans="1:5" s="22" customFormat="1" x14ac:dyDescent="0.35">
      <c r="A383" s="21"/>
      <c r="C383" s="23"/>
      <c r="D383" s="24"/>
      <c r="E383" s="23"/>
    </row>
    <row r="384" spans="1:5" s="22" customFormat="1" x14ac:dyDescent="0.35">
      <c r="A384" s="21"/>
      <c r="C384" s="23"/>
      <c r="D384" s="24"/>
      <c r="E384" s="23"/>
    </row>
    <row r="385" spans="1:5" s="22" customFormat="1" x14ac:dyDescent="0.35">
      <c r="A385" s="21"/>
      <c r="C385" s="23"/>
      <c r="D385" s="24"/>
      <c r="E385" s="23"/>
    </row>
    <row r="386" spans="1:5" s="22" customFormat="1" x14ac:dyDescent="0.35">
      <c r="A386" s="21"/>
      <c r="C386" s="23"/>
      <c r="D386" s="24"/>
      <c r="E386" s="23"/>
    </row>
    <row r="387" spans="1:5" s="22" customFormat="1" x14ac:dyDescent="0.35">
      <c r="A387" s="21"/>
      <c r="C387" s="23"/>
      <c r="D387" s="24"/>
      <c r="E387" s="23"/>
    </row>
    <row r="388" spans="1:5" s="22" customFormat="1" x14ac:dyDescent="0.35">
      <c r="A388" s="21"/>
      <c r="C388" s="23"/>
      <c r="D388" s="24"/>
      <c r="E388" s="23"/>
    </row>
    <row r="389" spans="1:5" s="22" customFormat="1" x14ac:dyDescent="0.35">
      <c r="A389" s="21"/>
      <c r="C389" s="23"/>
      <c r="D389" s="24"/>
      <c r="E389" s="23"/>
    </row>
    <row r="390" spans="1:5" s="22" customFormat="1" x14ac:dyDescent="0.35">
      <c r="A390" s="21"/>
      <c r="C390" s="23"/>
      <c r="D390" s="24"/>
      <c r="E390" s="23"/>
    </row>
    <row r="391" spans="1:5" s="22" customFormat="1" x14ac:dyDescent="0.35">
      <c r="A391" s="21"/>
      <c r="C391" s="23"/>
      <c r="D391" s="24"/>
      <c r="E391" s="23"/>
    </row>
    <row r="392" spans="1:5" s="22" customFormat="1" x14ac:dyDescent="0.35">
      <c r="A392" s="21"/>
      <c r="C392" s="23"/>
      <c r="D392" s="24"/>
      <c r="E392" s="23"/>
    </row>
    <row r="393" spans="1:5" s="22" customFormat="1" x14ac:dyDescent="0.35">
      <c r="A393" s="21"/>
      <c r="C393" s="23"/>
      <c r="D393" s="24"/>
      <c r="E393" s="23"/>
    </row>
    <row r="394" spans="1:5" s="22" customFormat="1" x14ac:dyDescent="0.35">
      <c r="A394" s="21"/>
      <c r="C394" s="23"/>
      <c r="D394" s="24"/>
      <c r="E394" s="23"/>
    </row>
    <row r="395" spans="1:5" s="22" customFormat="1" x14ac:dyDescent="0.35">
      <c r="A395" s="21"/>
      <c r="C395" s="23"/>
      <c r="D395" s="24"/>
      <c r="E395" s="23"/>
    </row>
    <row r="396" spans="1:5" s="22" customFormat="1" x14ac:dyDescent="0.35">
      <c r="A396" s="21"/>
      <c r="C396" s="23"/>
      <c r="D396" s="24"/>
      <c r="E396" s="23"/>
    </row>
    <row r="397" spans="1:5" s="22" customFormat="1" x14ac:dyDescent="0.35">
      <c r="A397" s="21"/>
      <c r="C397" s="23"/>
      <c r="D397" s="24"/>
      <c r="E397" s="23"/>
    </row>
    <row r="398" spans="1:5" s="22" customFormat="1" x14ac:dyDescent="0.35">
      <c r="A398" s="21"/>
      <c r="C398" s="23"/>
      <c r="D398" s="24"/>
      <c r="E398" s="23"/>
    </row>
    <row r="399" spans="1:5" s="22" customFormat="1" x14ac:dyDescent="0.35">
      <c r="A399" s="21"/>
      <c r="C399" s="23"/>
      <c r="D399" s="24"/>
      <c r="E399" s="23"/>
    </row>
    <row r="400" spans="1:5" s="22" customFormat="1" x14ac:dyDescent="0.35">
      <c r="A400" s="21"/>
      <c r="C400" s="23"/>
      <c r="D400" s="24"/>
      <c r="E400" s="23"/>
    </row>
    <row r="401" spans="1:5" s="22" customFormat="1" x14ac:dyDescent="0.35">
      <c r="A401" s="21"/>
      <c r="C401" s="23"/>
      <c r="D401" s="24"/>
      <c r="E401" s="23"/>
    </row>
    <row r="402" spans="1:5" s="22" customFormat="1" x14ac:dyDescent="0.35">
      <c r="A402" s="21"/>
      <c r="C402" s="23"/>
      <c r="D402" s="24"/>
      <c r="E402" s="23"/>
    </row>
    <row r="403" spans="1:5" s="22" customFormat="1" x14ac:dyDescent="0.35">
      <c r="A403" s="21"/>
      <c r="C403" s="23"/>
      <c r="D403" s="24"/>
      <c r="E403" s="23"/>
    </row>
    <row r="404" spans="1:5" s="22" customFormat="1" x14ac:dyDescent="0.35">
      <c r="A404" s="21"/>
      <c r="C404" s="23"/>
      <c r="D404" s="24"/>
      <c r="E404" s="23"/>
    </row>
    <row r="405" spans="1:5" s="22" customFormat="1" x14ac:dyDescent="0.35">
      <c r="A405" s="21"/>
      <c r="C405" s="23"/>
      <c r="D405" s="24"/>
      <c r="E405" s="23"/>
    </row>
    <row r="406" spans="1:5" s="22" customFormat="1" x14ac:dyDescent="0.35">
      <c r="A406" s="21"/>
      <c r="C406" s="23"/>
      <c r="D406" s="24"/>
      <c r="E406" s="23"/>
    </row>
    <row r="407" spans="1:5" s="22" customFormat="1" x14ac:dyDescent="0.35">
      <c r="A407" s="21"/>
      <c r="C407" s="23"/>
      <c r="D407" s="24"/>
      <c r="E407" s="23"/>
    </row>
    <row r="408" spans="1:5" s="22" customFormat="1" x14ac:dyDescent="0.35">
      <c r="A408" s="21"/>
      <c r="C408" s="23"/>
      <c r="D408" s="24"/>
      <c r="E408" s="23"/>
    </row>
    <row r="409" spans="1:5" s="22" customFormat="1" x14ac:dyDescent="0.35">
      <c r="A409" s="21"/>
      <c r="C409" s="23"/>
      <c r="D409" s="24"/>
      <c r="E409" s="23"/>
    </row>
    <row r="410" spans="1:5" s="22" customFormat="1" x14ac:dyDescent="0.35">
      <c r="A410" s="21"/>
      <c r="C410" s="23"/>
      <c r="D410" s="24"/>
      <c r="E410" s="23"/>
    </row>
    <row r="411" spans="1:5" s="22" customFormat="1" x14ac:dyDescent="0.35">
      <c r="A411" s="21"/>
      <c r="C411" s="23"/>
      <c r="D411" s="24"/>
      <c r="E411" s="23"/>
    </row>
    <row r="412" spans="1:5" s="22" customFormat="1" x14ac:dyDescent="0.35">
      <c r="A412" s="21"/>
      <c r="C412" s="23"/>
      <c r="D412" s="24"/>
      <c r="E412" s="23"/>
    </row>
    <row r="413" spans="1:5" s="22" customFormat="1" x14ac:dyDescent="0.35">
      <c r="A413" s="21"/>
      <c r="C413" s="23"/>
      <c r="D413" s="24"/>
      <c r="E413" s="23"/>
    </row>
    <row r="414" spans="1:5" s="22" customFormat="1" x14ac:dyDescent="0.35">
      <c r="A414" s="21"/>
      <c r="C414" s="23"/>
      <c r="D414" s="24"/>
      <c r="E414" s="23"/>
    </row>
    <row r="415" spans="1:5" s="22" customFormat="1" x14ac:dyDescent="0.35">
      <c r="A415" s="21"/>
      <c r="C415" s="23"/>
      <c r="D415" s="24"/>
      <c r="E415" s="23"/>
    </row>
    <row r="416" spans="1:5" s="22" customFormat="1" x14ac:dyDescent="0.35">
      <c r="A416" s="21"/>
      <c r="C416" s="23"/>
      <c r="D416" s="24"/>
      <c r="E416" s="23"/>
    </row>
    <row r="417" spans="1:5" s="22" customFormat="1" x14ac:dyDescent="0.35">
      <c r="A417" s="21"/>
      <c r="C417" s="23"/>
      <c r="D417" s="24"/>
      <c r="E417" s="23"/>
    </row>
    <row r="418" spans="1:5" s="22" customFormat="1" x14ac:dyDescent="0.35">
      <c r="A418" s="21"/>
      <c r="C418" s="23"/>
      <c r="D418" s="24"/>
      <c r="E418" s="23"/>
    </row>
    <row r="419" spans="1:5" s="22" customFormat="1" x14ac:dyDescent="0.35">
      <c r="A419" s="21"/>
      <c r="C419" s="23"/>
      <c r="D419" s="24"/>
      <c r="E419" s="23"/>
    </row>
    <row r="420" spans="1:5" s="22" customFormat="1" x14ac:dyDescent="0.35">
      <c r="A420" s="21"/>
      <c r="C420" s="23"/>
      <c r="D420" s="24"/>
      <c r="E420" s="23"/>
    </row>
    <row r="421" spans="1:5" s="22" customFormat="1" x14ac:dyDescent="0.35">
      <c r="A421" s="21"/>
      <c r="C421" s="23"/>
      <c r="D421" s="24"/>
      <c r="E421" s="23"/>
    </row>
    <row r="422" spans="1:5" s="22" customFormat="1" x14ac:dyDescent="0.35">
      <c r="A422" s="21"/>
      <c r="C422" s="23"/>
      <c r="D422" s="24"/>
      <c r="E422" s="23"/>
    </row>
    <row r="423" spans="1:5" s="22" customFormat="1" x14ac:dyDescent="0.35">
      <c r="A423" s="21"/>
      <c r="C423" s="23"/>
      <c r="D423" s="24"/>
      <c r="E423" s="23"/>
    </row>
    <row r="424" spans="1:5" s="22" customFormat="1" x14ac:dyDescent="0.35">
      <c r="A424" s="21"/>
      <c r="C424" s="23"/>
      <c r="D424" s="24"/>
      <c r="E424" s="23"/>
    </row>
    <row r="425" spans="1:5" s="22" customFormat="1" x14ac:dyDescent="0.35">
      <c r="A425" s="21"/>
      <c r="C425" s="23"/>
      <c r="D425" s="24"/>
      <c r="E425" s="23"/>
    </row>
    <row r="426" spans="1:5" s="22" customFormat="1" x14ac:dyDescent="0.35">
      <c r="A426" s="21"/>
      <c r="C426" s="23"/>
      <c r="D426" s="24"/>
      <c r="E426" s="23"/>
    </row>
    <row r="427" spans="1:5" s="22" customFormat="1" x14ac:dyDescent="0.35">
      <c r="A427" s="21"/>
      <c r="C427" s="23"/>
      <c r="D427" s="24"/>
      <c r="E427" s="23"/>
    </row>
    <row r="428" spans="1:5" s="22" customFormat="1" x14ac:dyDescent="0.35">
      <c r="A428" s="21"/>
      <c r="C428" s="23"/>
      <c r="D428" s="24"/>
      <c r="E428" s="23"/>
    </row>
    <row r="429" spans="1:5" s="22" customFormat="1" x14ac:dyDescent="0.35">
      <c r="A429" s="21"/>
      <c r="C429" s="23"/>
      <c r="D429" s="24"/>
      <c r="E429" s="23"/>
    </row>
    <row r="430" spans="1:5" s="22" customFormat="1" x14ac:dyDescent="0.35">
      <c r="A430" s="21"/>
      <c r="C430" s="23"/>
      <c r="D430" s="24"/>
      <c r="E430" s="23"/>
    </row>
    <row r="431" spans="1:5" s="22" customFormat="1" x14ac:dyDescent="0.35">
      <c r="A431" s="21"/>
      <c r="C431" s="23"/>
      <c r="D431" s="24"/>
      <c r="E431" s="23"/>
    </row>
    <row r="432" spans="1:5" s="22" customFormat="1" x14ac:dyDescent="0.35">
      <c r="A432" s="21"/>
      <c r="C432" s="23"/>
      <c r="D432" s="24"/>
      <c r="E432" s="23"/>
    </row>
    <row r="433" spans="1:5" s="22" customFormat="1" x14ac:dyDescent="0.35">
      <c r="A433" s="21"/>
      <c r="C433" s="23"/>
      <c r="D433" s="24"/>
      <c r="E433" s="23"/>
    </row>
    <row r="434" spans="1:5" s="22" customFormat="1" x14ac:dyDescent="0.35">
      <c r="A434" s="21"/>
      <c r="C434" s="23"/>
      <c r="D434" s="24"/>
      <c r="E434" s="23"/>
    </row>
    <row r="435" spans="1:5" s="22" customFormat="1" x14ac:dyDescent="0.35">
      <c r="A435" s="21"/>
      <c r="C435" s="23"/>
      <c r="D435" s="24"/>
      <c r="E435" s="23"/>
    </row>
    <row r="436" spans="1:5" s="22" customFormat="1" x14ac:dyDescent="0.35">
      <c r="A436" s="21"/>
      <c r="C436" s="23"/>
      <c r="D436" s="24"/>
      <c r="E436" s="23"/>
    </row>
    <row r="437" spans="1:5" s="22" customFormat="1" x14ac:dyDescent="0.35">
      <c r="A437" s="21"/>
      <c r="C437" s="23"/>
      <c r="D437" s="24"/>
      <c r="E437" s="23"/>
    </row>
    <row r="438" spans="1:5" s="22" customFormat="1" x14ac:dyDescent="0.35">
      <c r="A438" s="21"/>
      <c r="C438" s="23"/>
      <c r="D438" s="24"/>
      <c r="E438" s="23"/>
    </row>
    <row r="439" spans="1:5" s="22" customFormat="1" x14ac:dyDescent="0.35">
      <c r="A439" s="21"/>
      <c r="C439" s="23"/>
      <c r="D439" s="24"/>
      <c r="E439" s="23"/>
    </row>
    <row r="440" spans="1:5" s="22" customFormat="1" x14ac:dyDescent="0.35">
      <c r="A440" s="21"/>
      <c r="C440" s="23"/>
      <c r="D440" s="24"/>
      <c r="E440" s="23"/>
    </row>
    <row r="441" spans="1:5" s="22" customFormat="1" x14ac:dyDescent="0.35">
      <c r="A441" s="21"/>
      <c r="C441" s="23"/>
      <c r="D441" s="24"/>
      <c r="E441" s="23"/>
    </row>
    <row r="442" spans="1:5" s="22" customFormat="1" x14ac:dyDescent="0.35">
      <c r="A442" s="21"/>
      <c r="C442" s="23"/>
      <c r="D442" s="24"/>
      <c r="E442" s="23"/>
    </row>
    <row r="443" spans="1:5" s="22" customFormat="1" x14ac:dyDescent="0.35">
      <c r="A443" s="21"/>
      <c r="C443" s="23"/>
      <c r="D443" s="24"/>
      <c r="E443" s="23"/>
    </row>
    <row r="444" spans="1:5" s="22" customFormat="1" x14ac:dyDescent="0.35">
      <c r="A444" s="21"/>
      <c r="C444" s="23"/>
      <c r="D444" s="24"/>
      <c r="E444" s="23"/>
    </row>
    <row r="445" spans="1:5" s="22" customFormat="1" x14ac:dyDescent="0.35">
      <c r="A445" s="21"/>
      <c r="C445" s="23"/>
      <c r="D445" s="24"/>
      <c r="E445" s="23"/>
    </row>
    <row r="446" spans="1:5" s="22" customFormat="1" x14ac:dyDescent="0.35">
      <c r="A446" s="21"/>
      <c r="C446" s="23"/>
      <c r="D446" s="24"/>
      <c r="E446" s="23"/>
    </row>
    <row r="447" spans="1:5" s="22" customFormat="1" x14ac:dyDescent="0.35">
      <c r="A447" s="21"/>
      <c r="C447" s="23"/>
      <c r="D447" s="24"/>
      <c r="E447" s="23"/>
    </row>
    <row r="448" spans="1:5" s="22" customFormat="1" x14ac:dyDescent="0.35">
      <c r="A448" s="21"/>
      <c r="C448" s="23"/>
      <c r="D448" s="24"/>
      <c r="E448" s="23"/>
    </row>
    <row r="449" spans="1:5" s="22" customFormat="1" x14ac:dyDescent="0.35">
      <c r="A449" s="21"/>
      <c r="C449" s="23"/>
      <c r="D449" s="24"/>
      <c r="E449" s="23"/>
    </row>
    <row r="450" spans="1:5" s="22" customFormat="1" x14ac:dyDescent="0.35">
      <c r="A450" s="21"/>
      <c r="C450" s="23"/>
      <c r="D450" s="24"/>
      <c r="E450" s="23"/>
    </row>
    <row r="451" spans="1:5" s="22" customFormat="1" x14ac:dyDescent="0.35">
      <c r="A451" s="21"/>
      <c r="C451" s="23"/>
      <c r="D451" s="24"/>
      <c r="E451" s="23"/>
    </row>
    <row r="452" spans="1:5" s="22" customFormat="1" x14ac:dyDescent="0.35">
      <c r="A452" s="21"/>
      <c r="C452" s="23"/>
      <c r="D452" s="24"/>
      <c r="E452" s="23"/>
    </row>
    <row r="453" spans="1:5" s="22" customFormat="1" x14ac:dyDescent="0.35">
      <c r="A453" s="21"/>
      <c r="C453" s="23"/>
      <c r="D453" s="24"/>
      <c r="E453" s="23"/>
    </row>
    <row r="454" spans="1:5" s="22" customFormat="1" x14ac:dyDescent="0.35">
      <c r="A454" s="21"/>
      <c r="C454" s="23"/>
      <c r="D454" s="24"/>
      <c r="E454" s="23"/>
    </row>
    <row r="455" spans="1:5" s="22" customFormat="1" x14ac:dyDescent="0.35">
      <c r="A455" s="21"/>
      <c r="C455" s="23"/>
      <c r="D455" s="24"/>
      <c r="E455" s="23"/>
    </row>
    <row r="456" spans="1:5" s="22" customFormat="1" x14ac:dyDescent="0.35">
      <c r="A456" s="21"/>
      <c r="C456" s="23"/>
      <c r="D456" s="24"/>
      <c r="E456" s="23"/>
    </row>
    <row r="457" spans="1:5" s="22" customFormat="1" x14ac:dyDescent="0.35">
      <c r="A457" s="21"/>
      <c r="C457" s="23"/>
      <c r="D457" s="24"/>
      <c r="E457" s="23"/>
    </row>
    <row r="458" spans="1:5" s="22" customFormat="1" x14ac:dyDescent="0.35">
      <c r="A458" s="21"/>
      <c r="C458" s="23"/>
      <c r="D458" s="24"/>
      <c r="E458" s="23"/>
    </row>
    <row r="459" spans="1:5" s="22" customFormat="1" x14ac:dyDescent="0.35">
      <c r="A459" s="21"/>
      <c r="C459" s="23"/>
      <c r="D459" s="24"/>
      <c r="E459" s="23"/>
    </row>
    <row r="460" spans="1:5" s="22" customFormat="1" x14ac:dyDescent="0.35">
      <c r="A460" s="21"/>
      <c r="C460" s="23"/>
      <c r="D460" s="24"/>
      <c r="E460" s="23"/>
    </row>
    <row r="461" spans="1:5" s="22" customFormat="1" x14ac:dyDescent="0.35">
      <c r="A461" s="21"/>
      <c r="C461" s="23"/>
      <c r="D461" s="24"/>
      <c r="E461" s="23"/>
    </row>
    <row r="462" spans="1:5" s="22" customFormat="1" x14ac:dyDescent="0.35">
      <c r="A462" s="21"/>
      <c r="C462" s="23"/>
      <c r="D462" s="24"/>
      <c r="E462" s="23"/>
    </row>
    <row r="463" spans="1:5" s="22" customFormat="1" x14ac:dyDescent="0.35">
      <c r="A463" s="21"/>
      <c r="C463" s="23"/>
      <c r="D463" s="24"/>
      <c r="E463" s="23"/>
    </row>
    <row r="464" spans="1:5" s="22" customFormat="1" x14ac:dyDescent="0.35">
      <c r="A464" s="21"/>
      <c r="C464" s="23"/>
      <c r="D464" s="24"/>
      <c r="E464" s="23"/>
    </row>
    <row r="465" spans="1:5" s="22" customFormat="1" x14ac:dyDescent="0.35">
      <c r="A465" s="21"/>
      <c r="C465" s="23"/>
      <c r="D465" s="24"/>
      <c r="E465" s="23"/>
    </row>
    <row r="466" spans="1:5" s="22" customFormat="1" x14ac:dyDescent="0.35">
      <c r="A466" s="21"/>
      <c r="C466" s="23"/>
      <c r="D466" s="24"/>
      <c r="E466" s="23"/>
    </row>
    <row r="467" spans="1:5" s="22" customFormat="1" x14ac:dyDescent="0.35">
      <c r="A467" s="21"/>
      <c r="C467" s="23"/>
      <c r="D467" s="24"/>
      <c r="E467" s="23"/>
    </row>
    <row r="468" spans="1:5" s="22" customFormat="1" x14ac:dyDescent="0.35">
      <c r="A468" s="21"/>
      <c r="C468" s="23"/>
      <c r="D468" s="24"/>
      <c r="E468" s="23"/>
    </row>
    <row r="469" spans="1:5" s="22" customFormat="1" x14ac:dyDescent="0.35">
      <c r="A469" s="21"/>
      <c r="C469" s="23"/>
      <c r="D469" s="24"/>
      <c r="E469" s="23"/>
    </row>
    <row r="470" spans="1:5" s="22" customFormat="1" x14ac:dyDescent="0.35">
      <c r="A470" s="21"/>
      <c r="C470" s="23"/>
      <c r="D470" s="24"/>
      <c r="E470" s="23"/>
    </row>
    <row r="471" spans="1:5" s="22" customFormat="1" x14ac:dyDescent="0.35">
      <c r="A471" s="21"/>
      <c r="C471" s="23"/>
      <c r="D471" s="24"/>
      <c r="E471" s="23"/>
    </row>
    <row r="472" spans="1:5" s="22" customFormat="1" x14ac:dyDescent="0.35">
      <c r="A472" s="21"/>
      <c r="C472" s="23"/>
      <c r="D472" s="24"/>
      <c r="E472" s="23"/>
    </row>
    <row r="473" spans="1:5" s="22" customFormat="1" x14ac:dyDescent="0.35">
      <c r="A473" s="21"/>
      <c r="C473" s="23"/>
      <c r="D473" s="24"/>
      <c r="E473" s="23"/>
    </row>
    <row r="474" spans="1:5" s="22" customFormat="1" x14ac:dyDescent="0.35">
      <c r="A474" s="21"/>
      <c r="C474" s="23"/>
      <c r="D474" s="24"/>
      <c r="E474" s="23"/>
    </row>
    <row r="475" spans="1:5" s="22" customFormat="1" x14ac:dyDescent="0.35">
      <c r="A475" s="21"/>
      <c r="C475" s="23"/>
      <c r="D475" s="24"/>
      <c r="E475" s="23"/>
    </row>
    <row r="476" spans="1:5" s="22" customFormat="1" x14ac:dyDescent="0.35">
      <c r="A476" s="21"/>
      <c r="C476" s="23"/>
      <c r="D476" s="24"/>
      <c r="E476" s="23"/>
    </row>
    <row r="477" spans="1:5" s="22" customFormat="1" x14ac:dyDescent="0.35">
      <c r="A477" s="21"/>
      <c r="C477" s="23"/>
      <c r="D477" s="24"/>
      <c r="E477" s="23"/>
    </row>
    <row r="478" spans="1:5" s="22" customFormat="1" x14ac:dyDescent="0.35">
      <c r="A478" s="21"/>
      <c r="C478" s="23"/>
      <c r="D478" s="24"/>
      <c r="E478" s="23"/>
    </row>
    <row r="479" spans="1:5" s="22" customFormat="1" x14ac:dyDescent="0.35">
      <c r="A479" s="21"/>
      <c r="C479" s="23"/>
      <c r="D479" s="24"/>
      <c r="E479" s="23"/>
    </row>
    <row r="480" spans="1:5" s="22" customFormat="1" x14ac:dyDescent="0.35">
      <c r="A480" s="21"/>
      <c r="C480" s="23"/>
      <c r="D480" s="24"/>
      <c r="E480" s="23"/>
    </row>
    <row r="481" spans="1:5" s="22" customFormat="1" x14ac:dyDescent="0.35">
      <c r="A481" s="21"/>
      <c r="C481" s="23"/>
      <c r="D481" s="24"/>
      <c r="E481" s="23"/>
    </row>
    <row r="482" spans="1:5" s="22" customFormat="1" x14ac:dyDescent="0.35">
      <c r="A482" s="21"/>
      <c r="C482" s="23"/>
      <c r="D482" s="24"/>
      <c r="E482" s="23"/>
    </row>
    <row r="483" spans="1:5" s="22" customFormat="1" x14ac:dyDescent="0.35">
      <c r="A483" s="21"/>
      <c r="C483" s="23"/>
      <c r="D483" s="24"/>
      <c r="E483" s="23"/>
    </row>
    <row r="484" spans="1:5" s="22" customFormat="1" x14ac:dyDescent="0.35">
      <c r="A484" s="21"/>
      <c r="C484" s="23"/>
      <c r="D484" s="24"/>
      <c r="E484" s="23"/>
    </row>
    <row r="485" spans="1:5" s="22" customFormat="1" x14ac:dyDescent="0.35">
      <c r="A485" s="21"/>
      <c r="C485" s="23"/>
      <c r="D485" s="24"/>
      <c r="E485" s="23"/>
    </row>
    <row r="486" spans="1:5" s="22" customFormat="1" x14ac:dyDescent="0.35">
      <c r="A486" s="21"/>
      <c r="C486" s="23"/>
      <c r="D486" s="24"/>
      <c r="E486" s="23"/>
    </row>
    <row r="487" spans="1:5" s="22" customFormat="1" x14ac:dyDescent="0.35">
      <c r="A487" s="21"/>
      <c r="C487" s="23"/>
      <c r="D487" s="24"/>
      <c r="E487" s="23"/>
    </row>
    <row r="488" spans="1:5" s="22" customFormat="1" x14ac:dyDescent="0.35">
      <c r="A488" s="21"/>
      <c r="C488" s="23"/>
      <c r="D488" s="24"/>
      <c r="E488" s="23"/>
    </row>
    <row r="489" spans="1:5" s="22" customFormat="1" x14ac:dyDescent="0.35">
      <c r="A489" s="21"/>
      <c r="C489" s="23"/>
      <c r="D489" s="24"/>
      <c r="E489" s="23"/>
    </row>
    <row r="490" spans="1:5" s="22" customFormat="1" x14ac:dyDescent="0.35">
      <c r="A490" s="21"/>
      <c r="C490" s="23"/>
      <c r="D490" s="24"/>
      <c r="E490" s="23"/>
    </row>
  </sheetData>
  <mergeCells count="26">
    <mergeCell ref="A19:D19"/>
    <mergeCell ref="A15:A16"/>
    <mergeCell ref="B15:B16"/>
    <mergeCell ref="C15:C16"/>
    <mergeCell ref="A17:A18"/>
    <mergeCell ref="B17:B18"/>
    <mergeCell ref="C17:C18"/>
    <mergeCell ref="A11:A12"/>
    <mergeCell ref="B11:B12"/>
    <mergeCell ref="C11:C12"/>
    <mergeCell ref="A13:A14"/>
    <mergeCell ref="B13:B14"/>
    <mergeCell ref="C13:C14"/>
    <mergeCell ref="B6:H6"/>
    <mergeCell ref="A9:A10"/>
    <mergeCell ref="B9:B10"/>
    <mergeCell ref="C9:C10"/>
    <mergeCell ref="A7:A8"/>
    <mergeCell ref="B7:B8"/>
    <mergeCell ref="C7:C8"/>
    <mergeCell ref="A2:F2"/>
    <mergeCell ref="A4:A5"/>
    <mergeCell ref="B4:B5"/>
    <mergeCell ref="C4:C5"/>
    <mergeCell ref="D4:D5"/>
    <mergeCell ref="F4: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K18"/>
  <sheetViews>
    <sheetView zoomScaleNormal="100" workbookViewId="0">
      <selection activeCell="D14" sqref="D14"/>
    </sheetView>
  </sheetViews>
  <sheetFormatPr defaultRowHeight="14.5" x14ac:dyDescent="0.35"/>
  <cols>
    <col min="3" max="3" width="3.453125" customWidth="1"/>
    <col min="4" max="4" width="25.81640625" customWidth="1"/>
    <col min="5" max="5" width="16.81640625" style="4" customWidth="1"/>
    <col min="6" max="8" width="16.81640625" customWidth="1"/>
    <col min="10" max="10" width="13.26953125" bestFit="1" customWidth="1"/>
    <col min="11" max="11" width="19" customWidth="1"/>
    <col min="15" max="15" width="11.7265625" customWidth="1"/>
    <col min="17" max="17" width="23.453125" customWidth="1"/>
  </cols>
  <sheetData>
    <row r="3" spans="3:10" ht="61.5" customHeight="1" x14ac:dyDescent="0.35">
      <c r="C3" s="90" t="s">
        <v>157</v>
      </c>
      <c r="D3" s="90" t="s">
        <v>158</v>
      </c>
      <c r="E3" s="79" t="s">
        <v>9</v>
      </c>
      <c r="F3" s="32" t="s">
        <v>10</v>
      </c>
      <c r="G3" s="90" t="s">
        <v>1</v>
      </c>
      <c r="H3" s="90" t="s">
        <v>8</v>
      </c>
    </row>
    <row r="4" spans="3:10" x14ac:dyDescent="0.35">
      <c r="C4" s="80">
        <v>1</v>
      </c>
      <c r="D4" s="5" t="s">
        <v>11</v>
      </c>
      <c r="E4" s="78" t="s">
        <v>12</v>
      </c>
      <c r="F4" s="67">
        <f>28*500</f>
        <v>14000</v>
      </c>
      <c r="G4" s="68">
        <v>180</v>
      </c>
      <c r="H4" s="69">
        <f>G4*F4</f>
        <v>2520000</v>
      </c>
    </row>
    <row r="5" spans="3:10" x14ac:dyDescent="0.35">
      <c r="C5" s="80">
        <v>2</v>
      </c>
      <c r="D5" s="5" t="s">
        <v>13</v>
      </c>
      <c r="E5" s="78" t="s">
        <v>14</v>
      </c>
      <c r="F5" s="67">
        <v>1500</v>
      </c>
      <c r="G5" s="68">
        <f>180</f>
        <v>180</v>
      </c>
      <c r="H5" s="69">
        <f>G5*F5</f>
        <v>270000</v>
      </c>
    </row>
    <row r="6" spans="3:10" x14ac:dyDescent="0.35">
      <c r="C6" s="80">
        <v>3</v>
      </c>
      <c r="D6" s="5" t="s">
        <v>15</v>
      </c>
      <c r="E6" s="78" t="s">
        <v>16</v>
      </c>
      <c r="F6" s="67">
        <v>3</v>
      </c>
      <c r="G6" s="68">
        <v>20000</v>
      </c>
      <c r="H6" s="69">
        <f>G6*F6</f>
        <v>60000</v>
      </c>
    </row>
    <row r="7" spans="3:10" ht="29" x14ac:dyDescent="0.35">
      <c r="C7" s="80">
        <v>4</v>
      </c>
      <c r="D7" s="5" t="s">
        <v>17</v>
      </c>
      <c r="E7" s="78" t="s">
        <v>18</v>
      </c>
      <c r="F7" s="67">
        <v>15</v>
      </c>
      <c r="G7" s="68">
        <v>10000</v>
      </c>
      <c r="H7" s="69">
        <f>G7*F7</f>
        <v>150000</v>
      </c>
    </row>
    <row r="8" spans="3:10" x14ac:dyDescent="0.35">
      <c r="C8" s="80">
        <v>5</v>
      </c>
      <c r="D8" s="5" t="s">
        <v>154</v>
      </c>
      <c r="E8" s="78" t="s">
        <v>83</v>
      </c>
      <c r="F8" s="67">
        <v>9</v>
      </c>
      <c r="G8" s="68">
        <f>1200*89</f>
        <v>106800</v>
      </c>
      <c r="H8" s="69">
        <f>G8*F8</f>
        <v>961200</v>
      </c>
    </row>
    <row r="9" spans="3:10" ht="29" x14ac:dyDescent="0.35">
      <c r="C9" s="80">
        <v>6</v>
      </c>
      <c r="D9" s="5" t="s">
        <v>57</v>
      </c>
      <c r="E9" s="78" t="s">
        <v>56</v>
      </c>
      <c r="F9" s="67"/>
      <c r="G9" s="68"/>
      <c r="H9" s="69">
        <f>28*80000*0.6</f>
        <v>1344000</v>
      </c>
    </row>
    <row r="10" spans="3:10" x14ac:dyDescent="0.35">
      <c r="C10" s="80">
        <v>7</v>
      </c>
      <c r="D10" s="5" t="s">
        <v>19</v>
      </c>
      <c r="E10" s="78" t="s">
        <v>56</v>
      </c>
      <c r="F10" s="67"/>
      <c r="G10" s="68"/>
      <c r="H10" s="69">
        <v>500000</v>
      </c>
    </row>
    <row r="11" spans="3:10" x14ac:dyDescent="0.35">
      <c r="C11" s="6"/>
      <c r="D11" s="6"/>
      <c r="E11" s="20"/>
      <c r="F11" s="70"/>
      <c r="G11" s="70"/>
      <c r="H11" s="87">
        <f>SUM(H4:H10)</f>
        <v>5805200</v>
      </c>
    </row>
    <row r="13" spans="3:10" x14ac:dyDescent="0.35">
      <c r="G13" t="s">
        <v>29</v>
      </c>
      <c r="H13" s="3">
        <f>'5B5 Staff Remuneration O&amp;M'!F21</f>
        <v>40750000</v>
      </c>
    </row>
    <row r="14" spans="3:10" x14ac:dyDescent="0.35">
      <c r="G14" t="s">
        <v>30</v>
      </c>
      <c r="H14" s="10">
        <f>H11</f>
        <v>5805200</v>
      </c>
    </row>
    <row r="15" spans="3:10" x14ac:dyDescent="0.35">
      <c r="G15" t="s">
        <v>31</v>
      </c>
      <c r="H15" s="81">
        <f>H14+H13</f>
        <v>46555200</v>
      </c>
      <c r="J15" s="82">
        <f>H15*0.2</f>
        <v>9311040</v>
      </c>
    </row>
    <row r="16" spans="3:10" x14ac:dyDescent="0.35">
      <c r="G16" t="s">
        <v>58</v>
      </c>
      <c r="H16" s="3">
        <f>H15*5%</f>
        <v>2327760</v>
      </c>
    </row>
    <row r="17" spans="7:11" x14ac:dyDescent="0.35">
      <c r="G17" t="s">
        <v>32</v>
      </c>
      <c r="H17" s="3"/>
      <c r="K17" s="3"/>
    </row>
    <row r="18" spans="7:11" x14ac:dyDescent="0.35">
      <c r="H18" s="81">
        <f>SUM(H15:H17)</f>
        <v>48882960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K16"/>
  <sheetViews>
    <sheetView topLeftCell="A4" workbookViewId="0">
      <selection activeCell="H13" sqref="H13"/>
    </sheetView>
  </sheetViews>
  <sheetFormatPr defaultRowHeight="14.5" x14ac:dyDescent="0.35"/>
  <cols>
    <col min="3" max="3" width="3.453125" customWidth="1"/>
    <col min="4" max="4" width="25.81640625" customWidth="1"/>
    <col min="5" max="5" width="16.81640625" style="4" customWidth="1"/>
    <col min="6" max="8" width="16.81640625" customWidth="1"/>
    <col min="10" max="11" width="13.26953125" bestFit="1" customWidth="1"/>
  </cols>
  <sheetData>
    <row r="3" spans="3:11" x14ac:dyDescent="0.35">
      <c r="E3" s="27" t="s">
        <v>9</v>
      </c>
      <c r="F3" s="7" t="s">
        <v>10</v>
      </c>
      <c r="G3" s="28" t="s">
        <v>1</v>
      </c>
      <c r="H3" s="28" t="s">
        <v>8</v>
      </c>
    </row>
    <row r="4" spans="3:11" x14ac:dyDescent="0.35">
      <c r="C4" s="29">
        <v>1</v>
      </c>
      <c r="D4" s="5" t="s">
        <v>11</v>
      </c>
      <c r="E4" s="52" t="s">
        <v>12</v>
      </c>
      <c r="F4" s="67">
        <v>3000</v>
      </c>
      <c r="G4" s="68">
        <v>100</v>
      </c>
      <c r="H4" s="69">
        <f>G4*F4</f>
        <v>300000</v>
      </c>
    </row>
    <row r="5" spans="3:11" x14ac:dyDescent="0.35">
      <c r="C5" s="29">
        <v>2</v>
      </c>
      <c r="D5" s="5" t="s">
        <v>13</v>
      </c>
      <c r="E5" s="52" t="s">
        <v>14</v>
      </c>
      <c r="F5" s="67">
        <v>500</v>
      </c>
      <c r="G5" s="68">
        <f>180</f>
        <v>180</v>
      </c>
      <c r="H5" s="69">
        <f t="shared" ref="H5:H7" si="0">G5*F5</f>
        <v>90000</v>
      </c>
    </row>
    <row r="6" spans="3:11" x14ac:dyDescent="0.35">
      <c r="C6" s="29">
        <v>3</v>
      </c>
      <c r="D6" s="5" t="s">
        <v>15</v>
      </c>
      <c r="E6" s="52" t="s">
        <v>16</v>
      </c>
      <c r="F6" s="67">
        <v>3</v>
      </c>
      <c r="G6" s="68">
        <v>5000</v>
      </c>
      <c r="H6" s="69">
        <f t="shared" si="0"/>
        <v>15000</v>
      </c>
    </row>
    <row r="7" spans="3:11" ht="29" x14ac:dyDescent="0.35">
      <c r="C7" s="29">
        <v>4</v>
      </c>
      <c r="D7" s="5" t="s">
        <v>17</v>
      </c>
      <c r="E7" s="52" t="s">
        <v>18</v>
      </c>
      <c r="F7" s="67">
        <v>15</v>
      </c>
      <c r="G7" s="68">
        <v>2000</v>
      </c>
      <c r="H7" s="69">
        <f t="shared" si="0"/>
        <v>30000</v>
      </c>
    </row>
    <row r="8" spans="3:11" ht="29" x14ac:dyDescent="0.35">
      <c r="C8" s="29">
        <v>6</v>
      </c>
      <c r="D8" s="5" t="s">
        <v>57</v>
      </c>
      <c r="E8" s="52" t="s">
        <v>56</v>
      </c>
      <c r="F8" s="67"/>
      <c r="G8" s="68"/>
      <c r="H8" s="69">
        <v>300000</v>
      </c>
    </row>
    <row r="9" spans="3:11" x14ac:dyDescent="0.35">
      <c r="C9" s="6"/>
      <c r="D9" s="6"/>
      <c r="E9" s="20"/>
      <c r="F9" s="70"/>
      <c r="G9" s="70"/>
      <c r="H9" s="87">
        <f>SUM(H4:H8)</f>
        <v>735000</v>
      </c>
    </row>
    <row r="11" spans="3:11" x14ac:dyDescent="0.35">
      <c r="G11" t="s">
        <v>29</v>
      </c>
      <c r="H11" s="3">
        <f>'5B5 Staff Remuneration O&amp;M'!F21</f>
        <v>40750000</v>
      </c>
      <c r="K11">
        <f>8200000+735000</f>
        <v>8935000</v>
      </c>
    </row>
    <row r="12" spans="3:11" x14ac:dyDescent="0.35">
      <c r="G12" t="s">
        <v>30</v>
      </c>
      <c r="H12" s="10">
        <f>H9+Reimbursible!H11</f>
        <v>6540200</v>
      </c>
    </row>
    <row r="13" spans="3:11" x14ac:dyDescent="0.35">
      <c r="G13" t="s">
        <v>31</v>
      </c>
      <c r="H13" s="81">
        <f>H12+H11</f>
        <v>47290200</v>
      </c>
      <c r="J13" s="82">
        <f>H13*0.2</f>
        <v>9458040</v>
      </c>
    </row>
    <row r="14" spans="3:11" x14ac:dyDescent="0.35">
      <c r="G14" t="s">
        <v>58</v>
      </c>
      <c r="H14" s="3">
        <f>H13*5%</f>
        <v>2364510</v>
      </c>
    </row>
    <row r="15" spans="3:11" x14ac:dyDescent="0.35">
      <c r="G15" t="s">
        <v>32</v>
      </c>
      <c r="H15" s="3"/>
      <c r="K15" s="3"/>
    </row>
    <row r="16" spans="3:11" x14ac:dyDescent="0.35">
      <c r="H16" s="81">
        <f>SUM(H13:H15)</f>
        <v>49654710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8:P11"/>
  <sheetViews>
    <sheetView workbookViewId="0">
      <selection activeCell="N14" sqref="N14"/>
    </sheetView>
  </sheetViews>
  <sheetFormatPr defaultRowHeight="14.5" x14ac:dyDescent="0.35"/>
  <cols>
    <col min="4" max="4" width="21.453125" bestFit="1" customWidth="1"/>
    <col min="7" max="7" width="10.26953125" style="2" bestFit="1" customWidth="1"/>
    <col min="8" max="8" width="9" style="2" bestFit="1" customWidth="1"/>
    <col min="9" max="9" width="11.54296875" style="2" bestFit="1" customWidth="1"/>
    <col min="10" max="10" width="9.26953125" style="2" bestFit="1" customWidth="1"/>
    <col min="11" max="11" width="8.81640625" style="2"/>
    <col min="12" max="12" width="16.7265625" style="2" bestFit="1" customWidth="1"/>
    <col min="13" max="13" width="10.81640625" style="2" bestFit="1" customWidth="1"/>
    <col min="14" max="14" width="9.453125" style="2" bestFit="1" customWidth="1"/>
    <col min="15" max="15" width="11.54296875" style="2" bestFit="1" customWidth="1"/>
    <col min="16" max="16" width="8.81640625" style="2"/>
  </cols>
  <sheetData>
    <row r="8" spans="4:15" x14ac:dyDescent="0.35">
      <c r="E8" t="s">
        <v>109</v>
      </c>
      <c r="F8" t="s">
        <v>110</v>
      </c>
      <c r="G8" s="2" t="s">
        <v>112</v>
      </c>
      <c r="H8" s="2" t="s">
        <v>113</v>
      </c>
      <c r="I8" s="2" t="s">
        <v>0</v>
      </c>
      <c r="L8" s="2" t="s">
        <v>116</v>
      </c>
      <c r="M8" s="2" t="s">
        <v>114</v>
      </c>
      <c r="N8" s="2" t="s">
        <v>115</v>
      </c>
    </row>
    <row r="9" spans="4:15" x14ac:dyDescent="0.35">
      <c r="D9" t="s">
        <v>108</v>
      </c>
      <c r="E9">
        <v>1</v>
      </c>
      <c r="F9">
        <v>100</v>
      </c>
      <c r="G9" s="2">
        <v>1000</v>
      </c>
      <c r="H9" s="2">
        <v>500</v>
      </c>
      <c r="I9" s="2">
        <f>(H9+G9)*F9*E9</f>
        <v>150000</v>
      </c>
      <c r="L9" s="2">
        <v>1000</v>
      </c>
      <c r="M9" s="2">
        <v>1500</v>
      </c>
      <c r="N9" s="2">
        <v>200</v>
      </c>
      <c r="O9" s="2">
        <f>(L9+N9+M9)*F9</f>
        <v>270000</v>
      </c>
    </row>
    <row r="10" spans="4:15" x14ac:dyDescent="0.35">
      <c r="D10" t="s">
        <v>111</v>
      </c>
      <c r="E10">
        <v>10</v>
      </c>
      <c r="F10">
        <v>5</v>
      </c>
      <c r="G10" s="2">
        <v>1000</v>
      </c>
      <c r="H10" s="2">
        <v>500</v>
      </c>
      <c r="I10" s="2">
        <f>(H10+G10)*F10*E10</f>
        <v>75000</v>
      </c>
      <c r="L10" s="2">
        <v>1000</v>
      </c>
      <c r="M10" s="2">
        <v>1500</v>
      </c>
      <c r="N10" s="2">
        <v>200</v>
      </c>
      <c r="O10" s="2">
        <f>(L10+N10+M10)*F10</f>
        <v>13500</v>
      </c>
    </row>
    <row r="11" spans="4:15" x14ac:dyDescent="0.35">
      <c r="I11" s="2">
        <f>SUM(I9:I10)</f>
        <v>225000</v>
      </c>
      <c r="O11" s="2">
        <f>SUM(O9:O10)</f>
        <v>283500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7"/>
  <sheetViews>
    <sheetView topLeftCell="A21" zoomScale="85" zoomScaleNormal="85" workbookViewId="0">
      <selection activeCell="D33" sqref="D33"/>
    </sheetView>
  </sheetViews>
  <sheetFormatPr defaultRowHeight="14.5" x14ac:dyDescent="0.35"/>
  <cols>
    <col min="1" max="1" width="18.7265625" bestFit="1" customWidth="1"/>
    <col min="2" max="2" width="18.54296875" customWidth="1"/>
    <col min="3" max="3" width="19.453125" customWidth="1"/>
    <col min="4" max="4" width="18" style="2" customWidth="1"/>
    <col min="8" max="8" width="13.81640625" bestFit="1" customWidth="1"/>
  </cols>
  <sheetData>
    <row r="2" spans="1:8" x14ac:dyDescent="0.35">
      <c r="A2" s="6" t="s">
        <v>65</v>
      </c>
      <c r="B2" s="6" t="s">
        <v>3</v>
      </c>
      <c r="C2" s="31">
        <v>0.85</v>
      </c>
      <c r="D2" s="25"/>
    </row>
    <row r="3" spans="1:8" x14ac:dyDescent="0.35">
      <c r="A3" s="6"/>
      <c r="B3" s="6" t="s">
        <v>4</v>
      </c>
      <c r="C3" s="31">
        <v>0.15</v>
      </c>
      <c r="D3" s="25"/>
    </row>
    <row r="4" spans="1:8" x14ac:dyDescent="0.35">
      <c r="A4" s="6"/>
      <c r="B4" s="6" t="s">
        <v>6</v>
      </c>
      <c r="C4" s="25">
        <v>30000000</v>
      </c>
      <c r="D4" s="25"/>
    </row>
    <row r="5" spans="1:8" x14ac:dyDescent="0.35">
      <c r="A5" s="6" t="s">
        <v>61</v>
      </c>
      <c r="B5" s="6" t="s">
        <v>3</v>
      </c>
      <c r="C5" s="25"/>
      <c r="D5" s="25">
        <f>C5*$C$2</f>
        <v>0</v>
      </c>
    </row>
    <row r="6" spans="1:8" x14ac:dyDescent="0.35">
      <c r="A6" s="6"/>
      <c r="B6" s="6" t="s">
        <v>5</v>
      </c>
      <c r="C6" s="25"/>
      <c r="D6" s="25" t="e">
        <f>$C$3*$C$4/C6*100</f>
        <v>#DIV/0!</v>
      </c>
      <c r="H6" s="3">
        <f>C6*5%</f>
        <v>0</v>
      </c>
    </row>
    <row r="7" spans="1:8" x14ac:dyDescent="0.35">
      <c r="A7" s="6"/>
      <c r="B7" s="6"/>
      <c r="D7" s="32" t="e">
        <f>SUM(D5:D6)</f>
        <v>#DIV/0!</v>
      </c>
    </row>
    <row r="8" spans="1:8" hidden="1" x14ac:dyDescent="0.35">
      <c r="A8" s="6"/>
      <c r="B8" s="6"/>
      <c r="C8" s="6"/>
      <c r="D8" s="25"/>
    </row>
    <row r="9" spans="1:8" hidden="1" x14ac:dyDescent="0.35">
      <c r="A9" s="6"/>
      <c r="B9" s="6"/>
      <c r="C9" s="6"/>
      <c r="D9" s="25"/>
    </row>
    <row r="10" spans="1:8" hidden="1" x14ac:dyDescent="0.35">
      <c r="A10" s="6"/>
      <c r="B10" s="6"/>
      <c r="C10" s="6"/>
      <c r="D10" s="25"/>
    </row>
    <row r="11" spans="1:8" hidden="1" x14ac:dyDescent="0.35">
      <c r="A11" s="6"/>
      <c r="B11" s="6"/>
      <c r="C11" s="6"/>
      <c r="D11" s="25"/>
    </row>
    <row r="12" spans="1:8" hidden="1" x14ac:dyDescent="0.35">
      <c r="A12" s="6"/>
      <c r="B12" s="6"/>
      <c r="C12" s="6"/>
      <c r="D12" s="25"/>
    </row>
    <row r="13" spans="1:8" hidden="1" x14ac:dyDescent="0.35">
      <c r="A13" s="6"/>
      <c r="B13" s="6"/>
      <c r="C13" s="6"/>
      <c r="D13" s="25"/>
    </row>
    <row r="14" spans="1:8" x14ac:dyDescent="0.35">
      <c r="A14" s="6"/>
      <c r="B14" s="6"/>
      <c r="C14" s="6" t="s">
        <v>7</v>
      </c>
      <c r="D14" s="25"/>
    </row>
    <row r="15" spans="1:8" x14ac:dyDescent="0.35">
      <c r="A15" s="6" t="s">
        <v>60</v>
      </c>
      <c r="B15" s="6" t="s">
        <v>3</v>
      </c>
      <c r="C15" s="25"/>
      <c r="D15" s="25">
        <f>C15*$C$2</f>
        <v>0</v>
      </c>
    </row>
    <row r="16" spans="1:8" x14ac:dyDescent="0.35">
      <c r="A16" s="6"/>
      <c r="B16" s="6" t="s">
        <v>5</v>
      </c>
      <c r="C16" s="25"/>
      <c r="D16" s="25" t="e">
        <f>$C$3*$C$4/C16*100</f>
        <v>#DIV/0!</v>
      </c>
    </row>
    <row r="17" spans="1:4" x14ac:dyDescent="0.35">
      <c r="A17" s="6"/>
      <c r="B17" s="6"/>
      <c r="C17" s="6" t="s">
        <v>7</v>
      </c>
      <c r="D17" s="32" t="e">
        <f>SUM(D15:D16)</f>
        <v>#DIV/0!</v>
      </c>
    </row>
    <row r="18" spans="1:4" x14ac:dyDescent="0.35">
      <c r="A18" s="6"/>
      <c r="B18" s="6"/>
      <c r="C18" s="6"/>
      <c r="D18" s="25"/>
    </row>
    <row r="19" spans="1:4" x14ac:dyDescent="0.35">
      <c r="A19" s="6"/>
      <c r="B19" s="6"/>
      <c r="C19" s="6"/>
      <c r="D19" s="25"/>
    </row>
    <row r="20" spans="1:4" x14ac:dyDescent="0.35">
      <c r="A20" s="6" t="s">
        <v>59</v>
      </c>
      <c r="B20" s="6" t="s">
        <v>3</v>
      </c>
      <c r="C20" s="25"/>
      <c r="D20" s="25">
        <f>C20*$C$2</f>
        <v>0</v>
      </c>
    </row>
    <row r="21" spans="1:4" x14ac:dyDescent="0.35">
      <c r="A21" s="6"/>
      <c r="B21" s="6" t="s">
        <v>5</v>
      </c>
      <c r="C21" s="25">
        <v>59145000</v>
      </c>
      <c r="D21" s="25">
        <f>$C$3*$C$4/C21*100</f>
        <v>7.6084199847831604</v>
      </c>
    </row>
    <row r="22" spans="1:4" ht="13.5" customHeight="1" x14ac:dyDescent="0.35">
      <c r="A22" s="6"/>
      <c r="B22" s="6"/>
      <c r="C22" s="6" t="s">
        <v>7</v>
      </c>
      <c r="D22" s="32">
        <f>SUM(D20:D21)</f>
        <v>7.6084199847831604</v>
      </c>
    </row>
    <row r="23" spans="1:4" ht="13.5" hidden="1" customHeight="1" x14ac:dyDescent="0.35">
      <c r="A23" s="6"/>
      <c r="B23" s="6"/>
      <c r="C23" s="6"/>
      <c r="D23" s="25"/>
    </row>
    <row r="24" spans="1:4" ht="13.5" hidden="1" customHeight="1" x14ac:dyDescent="0.35">
      <c r="A24" s="6"/>
      <c r="B24" s="6"/>
      <c r="C24" s="6"/>
      <c r="D24" s="25"/>
    </row>
    <row r="25" spans="1:4" ht="13.5" hidden="1" customHeight="1" x14ac:dyDescent="0.35">
      <c r="A25" s="6"/>
      <c r="B25" s="6"/>
      <c r="C25" s="6"/>
      <c r="D25" s="25"/>
    </row>
    <row r="26" spans="1:4" ht="13.5" customHeight="1" x14ac:dyDescent="0.35">
      <c r="A26" s="6"/>
      <c r="B26" s="6"/>
      <c r="C26" s="6"/>
      <c r="D26" s="25"/>
    </row>
    <row r="27" spans="1:4" x14ac:dyDescent="0.35">
      <c r="A27" s="6" t="s">
        <v>62</v>
      </c>
      <c r="B27" s="6" t="s">
        <v>3</v>
      </c>
      <c r="C27" s="6"/>
      <c r="D27" s="25">
        <f>C27*$C$2</f>
        <v>0</v>
      </c>
    </row>
    <row r="28" spans="1:4" x14ac:dyDescent="0.35">
      <c r="A28" s="6"/>
      <c r="B28" s="6" t="s">
        <v>5</v>
      </c>
      <c r="C28" s="25"/>
      <c r="D28" s="25" t="e">
        <f>$C$3*$C$4/C28*100</f>
        <v>#DIV/0!</v>
      </c>
    </row>
    <row r="29" spans="1:4" x14ac:dyDescent="0.35">
      <c r="A29" s="6"/>
      <c r="B29" s="6"/>
      <c r="C29" s="6" t="s">
        <v>7</v>
      </c>
      <c r="D29" s="32" t="e">
        <f>SUM(D27:D28)</f>
        <v>#DIV/0!</v>
      </c>
    </row>
    <row r="30" spans="1:4" x14ac:dyDescent="0.35">
      <c r="A30" s="6"/>
      <c r="B30" s="6"/>
      <c r="C30" s="6"/>
      <c r="D30" s="25"/>
    </row>
    <row r="31" spans="1:4" x14ac:dyDescent="0.35">
      <c r="A31" s="6" t="s">
        <v>63</v>
      </c>
      <c r="B31" s="6" t="s">
        <v>3</v>
      </c>
      <c r="C31" s="25"/>
      <c r="D31" s="25">
        <f>C31*$C$2</f>
        <v>0</v>
      </c>
    </row>
    <row r="32" spans="1:4" x14ac:dyDescent="0.35">
      <c r="A32" s="6"/>
      <c r="B32" s="6" t="s">
        <v>5</v>
      </c>
      <c r="C32" s="25"/>
      <c r="D32" s="25" t="e">
        <f>$C$3*$C$4/C32*100</f>
        <v>#DIV/0!</v>
      </c>
    </row>
    <row r="33" spans="1:4" x14ac:dyDescent="0.35">
      <c r="A33" s="6"/>
      <c r="B33" s="6"/>
      <c r="C33" s="6" t="s">
        <v>7</v>
      </c>
      <c r="D33" s="32" t="e">
        <f>SUM(D31:D32)</f>
        <v>#DIV/0!</v>
      </c>
    </row>
    <row r="34" spans="1:4" x14ac:dyDescent="0.35">
      <c r="A34" s="6"/>
      <c r="B34" s="6"/>
      <c r="C34" s="6"/>
      <c r="D34" s="25"/>
    </row>
    <row r="35" spans="1:4" x14ac:dyDescent="0.35">
      <c r="A35" s="6" t="s">
        <v>64</v>
      </c>
      <c r="B35" s="6" t="s">
        <v>3</v>
      </c>
      <c r="C35" s="25"/>
      <c r="D35" s="25">
        <f>C35*$C$2</f>
        <v>0</v>
      </c>
    </row>
    <row r="36" spans="1:4" x14ac:dyDescent="0.35">
      <c r="A36" s="6"/>
      <c r="B36" s="6" t="s">
        <v>5</v>
      </c>
      <c r="C36" s="25"/>
      <c r="D36" s="25" t="e">
        <f>$C$3*$C$4/C36*100</f>
        <v>#DIV/0!</v>
      </c>
    </row>
    <row r="37" spans="1:4" x14ac:dyDescent="0.35">
      <c r="A37" s="6"/>
      <c r="B37" s="6"/>
      <c r="C37" s="6" t="s">
        <v>7</v>
      </c>
      <c r="D37" s="32" t="e">
        <f>SUM(D35:D36)</f>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HR</vt:lpstr>
      <vt:lpstr>5A5 Work schedule1</vt:lpstr>
      <vt:lpstr> 5A6 Team Composition</vt:lpstr>
      <vt:lpstr>5A7 Staffing Schedule</vt:lpstr>
      <vt:lpstr>5B3 Staff Remuneration</vt:lpstr>
      <vt:lpstr>5B5 Staff Remuneration O&amp;M</vt:lpstr>
      <vt:lpstr>Reimbursible</vt:lpstr>
      <vt:lpstr>5B5 Reimbursible O&amp;M</vt:lpstr>
      <vt:lpstr>Training</vt:lpstr>
      <vt:lpstr>QCBS</vt:lpstr>
      <vt:lpstr>'5B3 Staff Remuneration'!Print_Area</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 jafor</dc:creator>
  <cp:lastModifiedBy>user</cp:lastModifiedBy>
  <cp:lastPrinted>2022-10-13T10:53:31Z</cp:lastPrinted>
  <dcterms:created xsi:type="dcterms:W3CDTF">2015-11-27T08:35:41Z</dcterms:created>
  <dcterms:modified xsi:type="dcterms:W3CDTF">2025-11-01T15:30:44Z</dcterms:modified>
</cp:coreProperties>
</file>